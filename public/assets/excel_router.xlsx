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fa11e10dcae9352/4 Informatikgarten/content/3-internet-web/attachments/"/>
    </mc:Choice>
  </mc:AlternateContent>
  <xr:revisionPtr revIDLastSave="782" documentId="8_{BF54CA8A-14DA-4351-9F56-4F32EDF2566F}" xr6:coauthVersionLast="47" xr6:coauthVersionMax="47" xr10:uidLastSave="{F5D6BCA7-8533-4687-BE4E-F0BE392C45F2}"/>
  <bookViews>
    <workbookView xWindow="-110" yWindow="-110" windowWidth="22620" windowHeight="13500" activeTab="1" xr2:uid="{8B4C5CB2-983E-4FDC-89E4-8A1111F2665D}"/>
  </bookViews>
  <sheets>
    <sheet name="Einstieg" sheetId="1" r:id="rId1"/>
    <sheet name="IP-Router" sheetId="2" r:id="rId2"/>
    <sheet name="Binäre Erkläru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8" i="1" l="1"/>
  <c r="B152" i="1"/>
  <c r="B142" i="1"/>
  <c r="C142" i="1"/>
  <c r="D142" i="1"/>
  <c r="A142" i="1"/>
  <c r="M6" i="3"/>
  <c r="Q6" i="3"/>
  <c r="K6" i="3"/>
  <c r="D6" i="3"/>
  <c r="F6" i="3"/>
  <c r="O6" i="3" s="1"/>
  <c r="H6" i="3"/>
  <c r="B6" i="3"/>
  <c r="T4" i="3"/>
  <c r="T5" i="3"/>
  <c r="T6" i="3"/>
  <c r="T7" i="3"/>
  <c r="T8" i="3"/>
  <c r="T9" i="3"/>
  <c r="T10" i="3"/>
  <c r="T11" i="3"/>
  <c r="T3" i="3"/>
  <c r="M4" i="3"/>
  <c r="O4" i="3"/>
  <c r="Q4" i="3"/>
  <c r="K4" i="3"/>
  <c r="M3" i="3"/>
  <c r="O3" i="3"/>
  <c r="Q3" i="3"/>
  <c r="K3" i="3"/>
  <c r="B44" i="1"/>
  <c r="A44" i="1"/>
  <c r="F19" i="1"/>
  <c r="C13" i="1"/>
  <c r="F14" i="1"/>
  <c r="B10" i="1"/>
  <c r="C7" i="1"/>
  <c r="B7" i="1"/>
  <c r="A7" i="1"/>
</calcChain>
</file>

<file path=xl/sharedStrings.xml><?xml version="1.0" encoding="utf-8"?>
<sst xmlns="http://schemas.openxmlformats.org/spreadsheetml/2006/main" count="116" uniqueCount="78">
  <si>
    <t>Einstieg: Excel-Formeln</t>
  </si>
  <si>
    <t>Wenn eine Zelle mit "=" beginnt, behandelt Excel den Inhalt als Formel.</t>
  </si>
  <si>
    <t>In den Formeln kann man rechnen, schauen Sie sich z.B. mal diese Inhalte an. Stern (*) steht für Multiplikation, Slash (/) für Division.</t>
  </si>
  <si>
    <r>
      <t xml:space="preserve">Anstatt Zahlen einzugeben, kann man bei Formel auch die </t>
    </r>
    <r>
      <rPr>
        <b/>
        <sz val="11"/>
        <color theme="1"/>
        <rFont val="Calibri"/>
        <family val="2"/>
        <scheme val="minor"/>
      </rPr>
      <t>Koordinaten einer anderen Zelle</t>
    </r>
    <r>
      <rPr>
        <sz val="11"/>
        <color theme="1"/>
        <rFont val="Calibri"/>
        <family val="2"/>
        <scheme val="minor"/>
      </rPr>
      <t xml:space="preserve"> nutzen. Schauen Sie diese beiden Zellen an.</t>
    </r>
  </si>
  <si>
    <r>
      <t xml:space="preserve">Zusätzlich kann man </t>
    </r>
    <r>
      <rPr>
        <b/>
        <sz val="11"/>
        <color theme="1"/>
        <rFont val="Calibri"/>
        <family val="2"/>
        <scheme val="minor"/>
      </rPr>
      <t xml:space="preserve">Funktionen </t>
    </r>
    <r>
      <rPr>
        <sz val="11"/>
        <color theme="1"/>
        <rFont val="Calibri"/>
        <family val="2"/>
        <scheme val="minor"/>
      </rPr>
      <t>gebrauchen, wie z.B. sum(). ACHTUNG: Excel übersetzt die Funktionen in andere Sprachen, also vielleicht heisst die Funktion bei Ihnen "summe()".</t>
    </r>
  </si>
  <si>
    <r>
      <t xml:space="preserve">Viele dieser Funktionen können auch mit </t>
    </r>
    <r>
      <rPr>
        <b/>
        <sz val="11"/>
        <color theme="1"/>
        <rFont val="Calibri"/>
        <family val="2"/>
        <scheme val="minor"/>
      </rPr>
      <t>Koordinaten für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ganze Bereiche </t>
    </r>
    <r>
      <rPr>
        <sz val="11"/>
        <color theme="1"/>
        <rFont val="Calibri"/>
        <family val="2"/>
        <scheme val="minor"/>
      </rPr>
      <t>umgehen.</t>
    </r>
  </si>
  <si>
    <t>Sie sind sicher einverstanden, dass die Formel des letzten Beispiels etwas unschön ist.</t>
  </si>
  <si>
    <t>Hier nochmal dasselbe Beispiel einfacher geschrieben:</t>
  </si>
  <si>
    <t>Um weitere Funktionen zu finden, drücken</t>
  </si>
  <si>
    <t>Sie oben auf das "fx"-Symbol</t>
  </si>
  <si>
    <t>Jetzt sind Sie dran!</t>
  </si>
  <si>
    <t>Lösen Sie folgende Aufgaben</t>
  </si>
  <si>
    <t>Inputs sind orange</t>
  </si>
  <si>
    <t>Ihre Formel / das Ergebnis ist gelb</t>
  </si>
  <si>
    <t>1.) Summieren Sie diesen ganzen Bereich:</t>
  </si>
  <si>
    <t>2.) Finden Sie die kleinste Zahl mit der Funktion min()</t>
  </si>
  <si>
    <t>3.) Dividieren Sie die erste Zahl durch die zweite mit deren Koordinaten:</t>
  </si>
  <si>
    <t>Zwischenergebnisse sind hellblau</t>
  </si>
  <si>
    <t>Zahlenbeispiel</t>
  </si>
  <si>
    <t>12-5=</t>
  </si>
  <si>
    <t>4.) Summieren Sie die Ergebnisse aller Substraktionen</t>
  </si>
  <si>
    <t>5.) Nutzen Sie die Funktion if(), auf Deutsch wenn(), um die "Zahlen sind gleich!" auszugeben, wenn beide Zahlen gleich sind, oder "Zahlen sind ungleich!", wenn sie ungleich sind.</t>
  </si>
  <si>
    <t>Subnet-Maske</t>
  </si>
  <si>
    <t>Binär</t>
  </si>
  <si>
    <t>.</t>
  </si>
  <si>
    <t>Im selben Netzwerk?</t>
  </si>
  <si>
    <t>Ihre Netzwerk-Adresse</t>
  </si>
  <si>
    <t>Tipp: Nutzen Sie Ihre eigene Subnet-Maske</t>
  </si>
  <si>
    <t xml:space="preserve">Tipp: Sie können hier Zwischenschritte ausrechnen. </t>
  </si>
  <si>
    <t>6.) Überprüfen Sie, ob alle Zahlenpaare in den Zeilen gleich sind</t>
  </si>
  <si>
    <r>
      <t xml:space="preserve">Excel kann Zellen </t>
    </r>
    <r>
      <rPr>
        <b/>
        <sz val="11"/>
        <color theme="1"/>
        <rFont val="Calibri"/>
        <family val="2"/>
        <scheme val="minor"/>
      </rPr>
      <t>automatisch erweitern</t>
    </r>
    <r>
      <rPr>
        <sz val="11"/>
        <color theme="1"/>
        <rFont val="Calibri"/>
        <family val="2"/>
        <scheme val="minor"/>
      </rPr>
      <t>.</t>
    </r>
  </si>
  <si>
    <t>Wenn Sie einen Bereich markieren, erscheint</t>
  </si>
  <si>
    <t>rechts unten ein kleines Quadrat. Gehen Sie mit</t>
  </si>
  <si>
    <t>der Maus in die Nähe und Ihr Cursor verwandelt sich</t>
  </si>
  <si>
    <t>in ein schwarzes Kreuz. Ziehen Sie den Bereich weiter</t>
  </si>
  <si>
    <t>und Zahlen sowie Formeln werden automatisch ergänzt.</t>
  </si>
  <si>
    <t>Markieren Sie diese Formeln und erweitern Sie sie nach rechts:</t>
  </si>
  <si>
    <t>Markieren Sie diese Zahlenreihen und erweitern Sie sie nach rechts:</t>
  </si>
  <si>
    <t>Sind alle gleich?</t>
  </si>
  <si>
    <t>Ja/Nein</t>
  </si>
  <si>
    <t>Wie viele sind gleich?</t>
  </si>
  <si>
    <t>IP-Header als Referenz</t>
  </si>
  <si>
    <t>&lt;- Summe aller blauen Zwischenergebnisse</t>
  </si>
  <si>
    <t>Tipp: Sie können den Wert mit if() / wenn() auf 0 oder 1 setzen</t>
  </si>
  <si>
    <t>Tipp: Es gibt eine Funktion, um die Anzahl Reihen eines Bereichs zu zählen.</t>
  </si>
  <si>
    <t>Challenge: Wir bauen einen einfachen Netzwerk-Router</t>
  </si>
  <si>
    <t>Ja / Nein</t>
  </si>
  <si>
    <t>IP-Adresse</t>
  </si>
  <si>
    <t>Dezimal</t>
  </si>
  <si>
    <t>Netzwerk-Adr.</t>
  </si>
  <si>
    <t>Was wäre die Netzwerk-Adresse?</t>
  </si>
  <si>
    <t>101</t>
  </si>
  <si>
    <t>7.) Nutzen Sie die Funktion dec2bin() und bin2dec(), um Dezimalzahlen zu Binärzahlen umzurechen und wieder zurück.</t>
  </si>
  <si>
    <t xml:space="preserve">8.) dec2bin() hat ein Argument, um eine fixe Anzahl Ziffern auszugeben. </t>
  </si>
  <si>
    <t>9.) Was ist die grösste Zahl, die mit 8 Binärziffern gespeichert werden kann?</t>
  </si>
  <si>
    <t>10.) Mit der Funktion rand() können Sie Zufallszahlen generieren zwischen 0 und 1. Mit round() können Sie Zahlen runden.</t>
  </si>
  <si>
    <t>Können Sie mir eine Tabelle von 10*10 Zufallszahlen zwischen 1 und 100 generieren?</t>
  </si>
  <si>
    <t>Richtig erweitern</t>
  </si>
  <si>
    <t>Excel kann Zellen automatisch erweitern, zB erweitern Sie den orangen Bereich ins Gelbe</t>
  </si>
  <si>
    <t>und schauen Sie, wie sich die Koordinaten automatisch richtig erweitert haben.</t>
  </si>
  <si>
    <r>
      <t xml:space="preserve">Nun kann man steuern, </t>
    </r>
    <r>
      <rPr>
        <b/>
        <sz val="11"/>
        <color theme="1"/>
        <rFont val="Calibri"/>
        <family val="2"/>
        <scheme val="minor"/>
      </rPr>
      <t xml:space="preserve">wie </t>
    </r>
    <r>
      <rPr>
        <sz val="11"/>
        <color theme="1"/>
        <rFont val="Calibri"/>
        <family val="2"/>
        <scheme val="minor"/>
      </rPr>
      <t>sich die Koordinaten erweitern. Setzen Sie dazu ein $-Zeichen</t>
    </r>
  </si>
  <si>
    <t>vor den Buchstaben oder die Zahl der Koordinaten, um diese fix zu halten.</t>
  </si>
  <si>
    <t>Multiplikator</t>
  </si>
  <si>
    <t>Versuchen Sie ins blaue Feld eine Formel zu schreiben, die Sie dann einfach erweitern können, sodass ALLE Zahlen mit dem Multiplikator</t>
  </si>
  <si>
    <t>im roten Feld multipliziert werden.</t>
  </si>
  <si>
    <t>Multiplikatoren</t>
  </si>
  <si>
    <t>Ändern Sie die Formel nun so ab, dass Sie das blaue Feld auf den ganzen gelben Bereich erweitern können und immernoch alles stimmt!</t>
  </si>
  <si>
    <t>Ihre Subnet-Maske</t>
  </si>
  <si>
    <t>Können Sie folgende Zahlen in Binär ausgeben, sodass immer 8 Ziffern geschrieben werden?</t>
  </si>
  <si>
    <t>Ihre IP-Adresse</t>
  </si>
  <si>
    <t>Ziel-IP-Adresse im Paket</t>
  </si>
  <si>
    <t>Sie sind ein Computer oder ein Router mit folgender IP-Adresse und Subnet-Maske.</t>
  </si>
  <si>
    <t>Sie wollen ein IP-Paket an dieses Ziel senden.</t>
  </si>
  <si>
    <t>Ihre Mission</t>
  </si>
  <si>
    <t>1. Erstellen Sie eine Logik, damit das orange Feld für alle Möglichen IP-Adressen und Subnet-Masken mit 0 und 255 immer richtig anzeigt, ob die IP-Adressen zum gleichen Netzwerk gehören.</t>
  </si>
  <si>
    <t>Tipp: Nutzen Sie if() oder wenn()</t>
  </si>
  <si>
    <t>2. Verschönern Sie die Darstellung: Machen Sie das Feld grün (Ja) oder rot (Nein).</t>
  </si>
  <si>
    <t>3. Erweitern Sie Ihre Logik, dass die Frage auch bei Subnet-Masken mit 254, 252, 248, etc funktioniert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</si>
</sst>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1"/>
      <name val="Courier New"/>
      <family val="3"/>
    </font>
    <font>
      <sz val="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right"/>
    </xf>
    <xf numFmtId="0" fontId="4" fillId="6" borderId="0" xfId="0" applyFont="1" applyFill="1"/>
    <xf numFmtId="0" fontId="0" fillId="6" borderId="0" xfId="0" applyFill="1"/>
    <xf numFmtId="0" fontId="3" fillId="6" borderId="0" xfId="0" applyFont="1" applyFill="1"/>
    <xf numFmtId="0" fontId="6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0" borderId="0" xfId="0" applyFont="1" applyAlignment="1">
      <alignment horizontal="right"/>
    </xf>
    <xf numFmtId="0" fontId="6" fillId="7" borderId="0" xfId="0" applyFont="1" applyFill="1"/>
    <xf numFmtId="0" fontId="6" fillId="8" borderId="0" xfId="0" applyFont="1" applyFill="1"/>
    <xf numFmtId="0" fontId="0" fillId="0" borderId="1" xfId="0" applyBorder="1"/>
    <xf numFmtId="0" fontId="7" fillId="0" borderId="0" xfId="0" applyFont="1"/>
    <xf numFmtId="0" fontId="0" fillId="2" borderId="1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/>
    <xf numFmtId="0" fontId="0" fillId="9" borderId="0" xfId="0" applyFill="1"/>
    <xf numFmtId="0" fontId="2" fillId="9" borderId="0" xfId="0" applyFont="1" applyFill="1"/>
    <xf numFmtId="0" fontId="2" fillId="0" borderId="0" xfId="0" applyFont="1" applyFill="1"/>
    <xf numFmtId="0" fontId="0" fillId="0" borderId="0" xfId="0" applyFill="1"/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215900</xdr:colOff>
      <xdr:row>19</xdr:row>
      <xdr:rowOff>107950</xdr:rowOff>
    </xdr:from>
    <xdr:to>
      <xdr:col>9</xdr:col>
      <xdr:colOff>74653</xdr:colOff>
      <xdr:row>28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A8D12C-B727-6B79-A602-48FB2B828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4300" y="3816350"/>
          <a:ext cx="2906753" cy="1682750"/>
        </a:xfrm>
        <a:prstGeom prst="rect">
          <a:avLst/>
        </a:prstGeom>
      </xdr:spPr>
    </xdr:pic>
    <xdr:clientData/>
  </xdr:twoCellAnchor>
  <xdr:twoCellAnchor>
    <xdr:from>
      <xdr:col>2</xdr:col>
      <xdr:colOff>577850</xdr:colOff>
      <xdr:row>24</xdr:row>
      <xdr:rowOff>95250</xdr:rowOff>
    </xdr:from>
    <xdr:to>
      <xdr:col>5</xdr:col>
      <xdr:colOff>476250</xdr:colOff>
      <xdr:row>24</xdr:row>
      <xdr:rowOff>139700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C2D9B8-A9CF-121A-A4F4-29A18B7EEB6D}"/>
            </a:ext>
          </a:extLst>
        </xdr:cNvPr>
        <xdr:cNvCxnSpPr/>
      </xdr:nvCxnSpPr>
      <xdr:spPr>
        <a:xfrm>
          <a:off x="1797050" y="4724400"/>
          <a:ext cx="1727200" cy="44450"/>
        </a:xfrm>
        <a:prstGeom prst="straightConnector1">
          <a:avLst/>
        </a:prstGeom>
        <a:ln w="57150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336550</xdr:colOff>
      <xdr:row>29</xdr:row>
      <xdr:rowOff>171450</xdr:rowOff>
    </xdr:from>
    <xdr:to>
      <xdr:col>7</xdr:col>
      <xdr:colOff>269731</xdr:colOff>
      <xdr:row>35</xdr:row>
      <xdr:rowOff>95121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C613CD6-1FF8-1F94-E748-0C7B6B7AD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84550" y="5721350"/>
          <a:ext cx="1152381" cy="1028571"/>
        </a:xfrm>
        <a:prstGeom prst="rect">
          <a:avLst/>
        </a:prstGeom>
      </xdr:spPr>
    </xdr:pic>
    <xdr:clientData/>
  </xdr:twoCellAnchor>
  <xdr:twoCellAnchor>
    <xdr:from>
      <xdr:col>7</xdr:col>
      <xdr:colOff>171450</xdr:colOff>
      <xdr:row>35</xdr:row>
      <xdr:rowOff>25400</xdr:rowOff>
    </xdr:from>
    <xdr:to>
      <xdr:col>7</xdr:col>
      <xdr:colOff>431800</xdr:colOff>
      <xdr:row>36</xdr:row>
      <xdr:rowOff>101600</xdr:rowOff>
    </xdr:to>
    <xdr:sp macro="" textlink="">
      <xdr:nvSpPr>
        <xdr:cNvPr id="6" name="Cross 5">
          <a:extLst>
            <a:ext uri="{FF2B5EF4-FFF2-40B4-BE49-F238E27FC236}">
              <a16:creationId xmlns:a16="http://schemas.microsoft.com/office/drawing/2014/main" id="{D192E1B6-19F5-1DC7-9AA7-9E15D79D25C1}"/>
            </a:ext>
          </a:extLst>
        </xdr:cNvPr>
        <xdr:cNvSpPr/>
      </xdr:nvSpPr>
      <xdr:spPr>
        <a:xfrm>
          <a:off x="4438650" y="6680200"/>
          <a:ext cx="260350" cy="260350"/>
        </a:xfrm>
        <a:prstGeom prst="plus">
          <a:avLst>
            <a:gd name="adj" fmla="val 35490"/>
          </a:avLst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141694</xdr:colOff>
      <xdr:row>5</xdr:row>
      <xdr:rowOff>31486</xdr:rowOff>
    </xdr:from>
    <xdr:to>
      <xdr:col>17</xdr:col>
      <xdr:colOff>488058</xdr:colOff>
      <xdr:row>13</xdr:row>
      <xdr:rowOff>41983</xdr:rowOff>
    </xdr:to>
    <xdr:pic>
      <xdr:nvPicPr>
        <xdr:cNvPr id="2" name="Picture 1" descr="A closer look at IP headers | APNIC Blog">
          <a:extLst>
            <a:ext uri="{FF2B5EF4-FFF2-40B4-BE49-F238E27FC236}">
              <a16:creationId xmlns:a16="http://schemas.microsoft.com/office/drawing/2014/main" id="{6CA65A79-1F53-A04D-E9DF-76550C4AC1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52" t="10419" r="18445" b="9925"/>
        <a:stretch/>
      </xdr:blipFill>
      <xdr:spPr bwMode="auto">
        <a:xfrm>
          <a:off x="7221157" y="1317230"/>
          <a:ext cx="3390165" cy="1532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384969</xdr:colOff>
      <xdr:row>11</xdr:row>
      <xdr:rowOff>10496</xdr:rowOff>
    </xdr:from>
    <xdr:to>
      <xdr:col>14</xdr:col>
      <xdr:colOff>62976</xdr:colOff>
      <xdr:row>13</xdr:row>
      <xdr:rowOff>87313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A8D81BE-77E4-467B-10F2-A11C2254793A}"/>
            </a:ext>
          </a:extLst>
        </xdr:cNvPr>
        <xdr:cNvCxnSpPr/>
      </xdr:nvCxnSpPr>
      <xdr:spPr>
        <a:xfrm flipH="1">
          <a:off x="5029390" y="2450785"/>
          <a:ext cx="3330569" cy="444173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545171</xdr:colOff>
      <xdr:row>1</xdr:row>
      <xdr:rowOff>121781</xdr:rowOff>
    </xdr:from>
    <xdr:to>
      <xdr:col>15</xdr:col>
      <xdr:colOff>11044</xdr:colOff>
      <xdr:row>6</xdr:row>
      <xdr:rowOff>44174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9A35466-7298-4D64-A1C3-E7993A30D238}"/>
            </a:ext>
          </a:extLst>
        </xdr:cNvPr>
        <xdr:cNvSpPr/>
      </xdr:nvSpPr>
      <xdr:spPr>
        <a:xfrm>
          <a:off x="4550890" y="304452"/>
          <a:ext cx="2466901" cy="879243"/>
        </a:xfrm>
        <a:prstGeom prst="rect">
          <a:avLst/>
        </a:prstGeom>
        <a:solidFill>
          <a:srgbClr val="FF0000">
            <a:alpha val="9020"/>
          </a:srgbClr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FA81-946F-40E9-B1E0-4F6FC7A0F783}">
  <dimension ref="A1:V162"/>
  <sheetViews>
    <sheetView topLeftCell="A69" zoomScale="145" zoomScaleNormal="145" workbookViewId="0">
      <selection activeCell="E85" sqref="E85"/>
    </sheetView>
  </sheetViews>
  <sheetFormatPr defaultRowHeight="14.5" x14ac:dyDescent="0.35"/>
  <cols>
    <col min="2" max="2" width="9.1796875" customWidth="1"/>
  </cols>
  <sheetData>
    <row r="1" spans="1:22" ht="31" x14ac:dyDescent="0.7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4" spans="1:22" x14ac:dyDescent="0.35">
      <c r="A4" t="s">
        <v>1</v>
      </c>
    </row>
    <row r="5" spans="1:22" x14ac:dyDescent="0.35">
      <c r="A5" t="s">
        <v>2</v>
      </c>
    </row>
    <row r="7" spans="1:22" x14ac:dyDescent="0.35">
      <c r="A7" s="3">
        <f>1+2</f>
        <v>3</v>
      </c>
      <c r="B7" s="3">
        <f>3*4</f>
        <v>12</v>
      </c>
      <c r="C7" s="3">
        <f>4/3</f>
        <v>1.3333333333333333</v>
      </c>
    </row>
    <row r="9" spans="1:22" x14ac:dyDescent="0.35">
      <c r="A9" t="s">
        <v>3</v>
      </c>
    </row>
    <row r="10" spans="1:22" x14ac:dyDescent="0.35">
      <c r="A10" s="4">
        <v>2</v>
      </c>
      <c r="B10" s="3">
        <f>A10*3</f>
        <v>6</v>
      </c>
    </row>
    <row r="12" spans="1:22" x14ac:dyDescent="0.35">
      <c r="A12" t="s">
        <v>4</v>
      </c>
    </row>
    <row r="13" spans="1:22" x14ac:dyDescent="0.35">
      <c r="A13" s="4">
        <v>20</v>
      </c>
      <c r="B13" s="4">
        <v>5</v>
      </c>
      <c r="C13" s="3">
        <f>SUM(A13,B13)</f>
        <v>25</v>
      </c>
    </row>
    <row r="14" spans="1:22" x14ac:dyDescent="0.35">
      <c r="A14" s="4">
        <v>3</v>
      </c>
      <c r="B14" s="4">
        <v>4</v>
      </c>
      <c r="C14" s="4">
        <v>5</v>
      </c>
      <c r="D14" s="4">
        <v>1</v>
      </c>
      <c r="E14" s="4">
        <v>77</v>
      </c>
      <c r="F14" s="3">
        <f>SUM(E14, D14, C14,B14,A14)</f>
        <v>90</v>
      </c>
    </row>
    <row r="16" spans="1:22" x14ac:dyDescent="0.35">
      <c r="A16" t="s">
        <v>6</v>
      </c>
    </row>
    <row r="17" spans="1:13" x14ac:dyDescent="0.35">
      <c r="A17" t="s">
        <v>5</v>
      </c>
    </row>
    <row r="18" spans="1:13" x14ac:dyDescent="0.35">
      <c r="A18" t="s">
        <v>7</v>
      </c>
    </row>
    <row r="19" spans="1:13" x14ac:dyDescent="0.35">
      <c r="A19" s="4">
        <v>3</v>
      </c>
      <c r="B19" s="4">
        <v>4</v>
      </c>
      <c r="C19" s="4">
        <v>5</v>
      </c>
      <c r="D19" s="4">
        <v>1</v>
      </c>
      <c r="E19" s="4">
        <v>77</v>
      </c>
      <c r="F19" s="3">
        <f>SUM(A19:E19)</f>
        <v>90</v>
      </c>
    </row>
    <row r="24" spans="1:13" x14ac:dyDescent="0.35">
      <c r="A24" t="s">
        <v>8</v>
      </c>
    </row>
    <row r="25" spans="1:13" x14ac:dyDescent="0.35">
      <c r="A25" t="s">
        <v>9</v>
      </c>
    </row>
    <row r="29" spans="1:13" x14ac:dyDescent="0.35">
      <c r="M29">
        <v>1</v>
      </c>
    </row>
    <row r="30" spans="1:13" x14ac:dyDescent="0.35">
      <c r="M30">
        <v>2</v>
      </c>
    </row>
    <row r="31" spans="1:13" x14ac:dyDescent="0.35">
      <c r="M31">
        <v>3</v>
      </c>
    </row>
    <row r="32" spans="1:13" x14ac:dyDescent="0.35">
      <c r="A32" t="s">
        <v>30</v>
      </c>
    </row>
    <row r="33" spans="1:22" x14ac:dyDescent="0.35">
      <c r="A33" t="s">
        <v>31</v>
      </c>
    </row>
    <row r="34" spans="1:22" x14ac:dyDescent="0.35">
      <c r="A34" t="s">
        <v>32</v>
      </c>
    </row>
    <row r="35" spans="1:22" x14ac:dyDescent="0.35">
      <c r="A35" t="s">
        <v>33</v>
      </c>
    </row>
    <row r="36" spans="1:22" x14ac:dyDescent="0.35">
      <c r="A36" t="s">
        <v>34</v>
      </c>
    </row>
    <row r="37" spans="1:22" x14ac:dyDescent="0.35">
      <c r="A37" t="s">
        <v>35</v>
      </c>
    </row>
    <row r="39" spans="1:22" x14ac:dyDescent="0.35">
      <c r="A39" t="s">
        <v>37</v>
      </c>
    </row>
    <row r="40" spans="1:22" x14ac:dyDescent="0.35">
      <c r="A40" s="4">
        <v>1</v>
      </c>
      <c r="B40" s="4">
        <v>2</v>
      </c>
      <c r="C40" s="4">
        <v>3</v>
      </c>
      <c r="D40" s="4">
        <v>4</v>
      </c>
      <c r="E40" s="3"/>
      <c r="F40" s="3"/>
      <c r="G40" s="3"/>
      <c r="H40" s="3"/>
    </row>
    <row r="41" spans="1:22" x14ac:dyDescent="0.35">
      <c r="A41" s="4">
        <v>3</v>
      </c>
      <c r="B41" s="4">
        <v>4</v>
      </c>
      <c r="C41" s="4">
        <v>5</v>
      </c>
      <c r="D41" s="4">
        <v>6</v>
      </c>
      <c r="E41" s="3"/>
      <c r="F41" s="3"/>
      <c r="G41" s="3"/>
      <c r="H41" s="3"/>
    </row>
    <row r="43" spans="1:22" x14ac:dyDescent="0.35">
      <c r="A43" t="s">
        <v>36</v>
      </c>
    </row>
    <row r="44" spans="1:22" x14ac:dyDescent="0.35">
      <c r="A44" s="4">
        <f>A40*A41</f>
        <v>3</v>
      </c>
      <c r="B44" s="4">
        <f>B40*B41</f>
        <v>8</v>
      </c>
      <c r="C44" s="3"/>
      <c r="D44" s="3"/>
      <c r="E44" s="3"/>
      <c r="F44" s="3"/>
      <c r="G44" s="3"/>
      <c r="H44" s="3"/>
    </row>
    <row r="46" spans="1:22" ht="28.5" x14ac:dyDescent="0.65">
      <c r="A46" s="8" t="s">
        <v>10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8" spans="1:22" x14ac:dyDescent="0.35">
      <c r="A48" t="s">
        <v>11</v>
      </c>
      <c r="D48" s="4" t="s">
        <v>12</v>
      </c>
      <c r="E48" s="4"/>
      <c r="F48" s="3" t="s">
        <v>13</v>
      </c>
      <c r="G48" s="3"/>
      <c r="H48" s="3"/>
      <c r="I48" s="3"/>
      <c r="J48" s="5" t="s">
        <v>17</v>
      </c>
      <c r="K48" s="5"/>
      <c r="L48" s="5"/>
      <c r="M48" s="5"/>
    </row>
    <row r="50" spans="1:4" x14ac:dyDescent="0.35">
      <c r="A50" t="s">
        <v>14</v>
      </c>
    </row>
    <row r="51" spans="1:4" x14ac:dyDescent="0.35">
      <c r="A51" s="4">
        <v>12</v>
      </c>
      <c r="B51" s="4">
        <v>13</v>
      </c>
      <c r="C51" s="4">
        <v>5</v>
      </c>
      <c r="D51" s="3"/>
    </row>
    <row r="52" spans="1:4" x14ac:dyDescent="0.35">
      <c r="A52" s="4">
        <v>15</v>
      </c>
      <c r="B52" s="4">
        <v>17</v>
      </c>
      <c r="C52" s="4">
        <v>1</v>
      </c>
    </row>
    <row r="53" spans="1:4" x14ac:dyDescent="0.35">
      <c r="A53" s="4">
        <v>16</v>
      </c>
      <c r="B53" s="4">
        <v>1</v>
      </c>
      <c r="C53" s="4">
        <v>2</v>
      </c>
    </row>
    <row r="55" spans="1:4" x14ac:dyDescent="0.35">
      <c r="A55" t="s">
        <v>15</v>
      </c>
    </row>
    <row r="56" spans="1:4" x14ac:dyDescent="0.35">
      <c r="A56" s="4">
        <v>12</v>
      </c>
      <c r="B56" s="4">
        <v>13</v>
      </c>
      <c r="C56" s="4">
        <v>5</v>
      </c>
      <c r="D56" s="3"/>
    </row>
    <row r="57" spans="1:4" x14ac:dyDescent="0.35">
      <c r="A57" s="4">
        <v>15</v>
      </c>
      <c r="B57" s="4">
        <v>17</v>
      </c>
      <c r="C57" s="4">
        <v>2</v>
      </c>
    </row>
    <row r="58" spans="1:4" x14ac:dyDescent="0.35">
      <c r="A58" s="4">
        <v>16</v>
      </c>
      <c r="B58" s="4">
        <v>4</v>
      </c>
      <c r="C58" s="4">
        <v>3</v>
      </c>
    </row>
    <row r="60" spans="1:4" x14ac:dyDescent="0.35">
      <c r="A60" t="s">
        <v>16</v>
      </c>
    </row>
    <row r="61" spans="1:4" x14ac:dyDescent="0.35">
      <c r="A61" s="4">
        <v>192312</v>
      </c>
      <c r="B61" s="4">
        <v>36</v>
      </c>
      <c r="C61" s="3"/>
    </row>
    <row r="63" spans="1:4" x14ac:dyDescent="0.35">
      <c r="A63" t="s">
        <v>20</v>
      </c>
    </row>
    <row r="64" spans="1:4" x14ac:dyDescent="0.35">
      <c r="A64" s="6" t="s">
        <v>18</v>
      </c>
      <c r="B64" s="6"/>
    </row>
    <row r="65" spans="1:12" x14ac:dyDescent="0.35">
      <c r="A65" s="6"/>
      <c r="B65" s="6">
        <v>12</v>
      </c>
      <c r="D65">
        <v>56</v>
      </c>
      <c r="E65">
        <v>15</v>
      </c>
      <c r="F65">
        <v>35</v>
      </c>
      <c r="G65">
        <v>17</v>
      </c>
      <c r="H65">
        <v>547</v>
      </c>
      <c r="I65">
        <v>168</v>
      </c>
      <c r="J65">
        <v>11</v>
      </c>
    </row>
    <row r="66" spans="1:12" x14ac:dyDescent="0.35">
      <c r="A66" s="6"/>
      <c r="B66" s="6">
        <v>5</v>
      </c>
      <c r="D66">
        <v>45</v>
      </c>
      <c r="E66">
        <v>7</v>
      </c>
      <c r="F66">
        <v>26</v>
      </c>
      <c r="G66">
        <v>9</v>
      </c>
      <c r="H66">
        <v>451</v>
      </c>
      <c r="I66">
        <v>134</v>
      </c>
      <c r="J66">
        <v>8</v>
      </c>
    </row>
    <row r="67" spans="1:12" x14ac:dyDescent="0.35">
      <c r="A67" s="7" t="s">
        <v>19</v>
      </c>
      <c r="B67" s="6">
        <v>7</v>
      </c>
      <c r="D67" s="5"/>
      <c r="E67" s="5"/>
      <c r="F67" s="5"/>
      <c r="G67" s="5"/>
      <c r="H67" s="5"/>
      <c r="I67" s="5"/>
      <c r="J67" s="5"/>
      <c r="K67" s="3"/>
      <c r="L67" t="s">
        <v>42</v>
      </c>
    </row>
    <row r="69" spans="1:12" x14ac:dyDescent="0.35">
      <c r="A69" t="s">
        <v>21</v>
      </c>
    </row>
    <row r="70" spans="1:12" x14ac:dyDescent="0.35">
      <c r="A70" s="4">
        <v>3</v>
      </c>
      <c r="B70" s="4">
        <v>3</v>
      </c>
      <c r="C70" s="3"/>
    </row>
    <row r="72" spans="1:12" x14ac:dyDescent="0.35">
      <c r="A72" t="s">
        <v>29</v>
      </c>
    </row>
    <row r="73" spans="1:12" x14ac:dyDescent="0.35">
      <c r="A73" t="s">
        <v>43</v>
      </c>
    </row>
    <row r="75" spans="1:12" x14ac:dyDescent="0.35">
      <c r="A75" s="4">
        <v>4</v>
      </c>
      <c r="B75" s="4">
        <v>4</v>
      </c>
      <c r="C75" s="5"/>
    </row>
    <row r="76" spans="1:12" x14ac:dyDescent="0.35">
      <c r="A76" s="4">
        <v>6</v>
      </c>
      <c r="B76" s="4">
        <v>6</v>
      </c>
      <c r="C76" s="5"/>
    </row>
    <row r="77" spans="1:12" x14ac:dyDescent="0.35">
      <c r="A77" s="4">
        <v>9</v>
      </c>
      <c r="B77" s="4">
        <v>9</v>
      </c>
      <c r="C77" s="5"/>
    </row>
    <row r="78" spans="1:12" x14ac:dyDescent="0.35">
      <c r="A78" s="4">
        <v>1</v>
      </c>
      <c r="B78" s="4">
        <v>1</v>
      </c>
      <c r="C78" s="5"/>
    </row>
    <row r="79" spans="1:12" x14ac:dyDescent="0.35">
      <c r="A79" s="4">
        <v>7</v>
      </c>
      <c r="B79" s="4">
        <v>7</v>
      </c>
      <c r="C79" s="5"/>
    </row>
    <row r="80" spans="1:12" x14ac:dyDescent="0.35">
      <c r="A80" s="4">
        <v>5</v>
      </c>
      <c r="B80" s="4">
        <v>5</v>
      </c>
      <c r="C80" s="5"/>
    </row>
    <row r="81" spans="1:5" x14ac:dyDescent="0.35">
      <c r="A81" s="4">
        <v>1</v>
      </c>
      <c r="B81" s="4">
        <v>1</v>
      </c>
      <c r="C81" s="5"/>
    </row>
    <row r="82" spans="1:5" x14ac:dyDescent="0.35">
      <c r="A82" s="4">
        <v>3</v>
      </c>
      <c r="B82" s="4">
        <v>3</v>
      </c>
      <c r="C82" s="5"/>
    </row>
    <row r="83" spans="1:5" x14ac:dyDescent="0.35">
      <c r="A83" s="4">
        <v>8</v>
      </c>
      <c r="B83" s="4">
        <v>8</v>
      </c>
      <c r="C83" s="5"/>
    </row>
    <row r="84" spans="1:5" x14ac:dyDescent="0.35">
      <c r="A84" s="4">
        <v>4</v>
      </c>
      <c r="B84" s="4">
        <v>4</v>
      </c>
      <c r="C84" s="5"/>
    </row>
    <row r="85" spans="1:5" x14ac:dyDescent="0.35">
      <c r="A85" s="4">
        <v>1</v>
      </c>
      <c r="B85" s="4">
        <v>1</v>
      </c>
      <c r="C85" s="5"/>
    </row>
    <row r="86" spans="1:5" x14ac:dyDescent="0.35">
      <c r="A86" s="4">
        <v>2</v>
      </c>
      <c r="B86" s="4">
        <v>2</v>
      </c>
      <c r="C86" s="5"/>
    </row>
    <row r="87" spans="1:5" x14ac:dyDescent="0.35">
      <c r="A87" s="4">
        <v>7</v>
      </c>
      <c r="B87" s="4">
        <v>7</v>
      </c>
      <c r="C87" s="5"/>
    </row>
    <row r="88" spans="1:5" x14ac:dyDescent="0.35">
      <c r="A88" t="s">
        <v>40</v>
      </c>
      <c r="C88" s="5"/>
    </row>
    <row r="89" spans="1:5" x14ac:dyDescent="0.35">
      <c r="A89" t="s">
        <v>38</v>
      </c>
      <c r="C89" s="3" t="s">
        <v>39</v>
      </c>
      <c r="E89" t="s">
        <v>44</v>
      </c>
    </row>
    <row r="92" spans="1:5" x14ac:dyDescent="0.35">
      <c r="A92" t="s">
        <v>52</v>
      </c>
    </row>
    <row r="94" spans="1:5" x14ac:dyDescent="0.35">
      <c r="A94" t="s">
        <v>48</v>
      </c>
      <c r="C94" t="s">
        <v>23</v>
      </c>
      <c r="E94" t="s">
        <v>48</v>
      </c>
    </row>
    <row r="95" spans="1:5" x14ac:dyDescent="0.35">
      <c r="A95">
        <v>5</v>
      </c>
      <c r="C95" t="s">
        <v>51</v>
      </c>
      <c r="E95">
        <v>5</v>
      </c>
    </row>
    <row r="96" spans="1:5" x14ac:dyDescent="0.35">
      <c r="A96">
        <v>1</v>
      </c>
      <c r="C96" s="5"/>
      <c r="E96" s="3"/>
    </row>
    <row r="97" spans="1:5" x14ac:dyDescent="0.35">
      <c r="A97">
        <v>2</v>
      </c>
      <c r="C97" s="5"/>
      <c r="E97" s="3"/>
    </row>
    <row r="98" spans="1:5" x14ac:dyDescent="0.35">
      <c r="A98">
        <v>3</v>
      </c>
      <c r="C98" s="5"/>
      <c r="E98" s="3"/>
    </row>
    <row r="99" spans="1:5" x14ac:dyDescent="0.35">
      <c r="A99">
        <v>4</v>
      </c>
      <c r="C99" s="5"/>
      <c r="E99" s="3"/>
    </row>
    <row r="100" spans="1:5" x14ac:dyDescent="0.35">
      <c r="A100">
        <v>12</v>
      </c>
      <c r="C100" s="5"/>
      <c r="E100" s="3"/>
    </row>
    <row r="101" spans="1:5" x14ac:dyDescent="0.35">
      <c r="A101">
        <v>33</v>
      </c>
      <c r="C101" s="5"/>
      <c r="E101" s="3"/>
    </row>
    <row r="102" spans="1:5" x14ac:dyDescent="0.35">
      <c r="A102">
        <v>41</v>
      </c>
      <c r="C102" s="5"/>
      <c r="E102" s="3"/>
    </row>
    <row r="103" spans="1:5" x14ac:dyDescent="0.35">
      <c r="A103">
        <v>56</v>
      </c>
      <c r="C103" s="5"/>
      <c r="E103" s="3"/>
    </row>
    <row r="106" spans="1:5" x14ac:dyDescent="0.35">
      <c r="A106" t="s">
        <v>53</v>
      </c>
    </row>
    <row r="107" spans="1:5" x14ac:dyDescent="0.35">
      <c r="A107" t="s">
        <v>68</v>
      </c>
    </row>
    <row r="109" spans="1:5" x14ac:dyDescent="0.35">
      <c r="A109">
        <v>75</v>
      </c>
    </row>
    <row r="110" spans="1:5" x14ac:dyDescent="0.35">
      <c r="A110">
        <v>48</v>
      </c>
    </row>
    <row r="111" spans="1:5" x14ac:dyDescent="0.35">
      <c r="A111">
        <v>41</v>
      </c>
    </row>
    <row r="112" spans="1:5" x14ac:dyDescent="0.35">
      <c r="A112">
        <v>66</v>
      </c>
    </row>
    <row r="113" spans="1:10" x14ac:dyDescent="0.35">
      <c r="A113">
        <v>51</v>
      </c>
    </row>
    <row r="114" spans="1:10" x14ac:dyDescent="0.35">
      <c r="A114">
        <v>28</v>
      </c>
    </row>
    <row r="115" spans="1:10" x14ac:dyDescent="0.35">
      <c r="A115">
        <v>62</v>
      </c>
    </row>
    <row r="116" spans="1:10" x14ac:dyDescent="0.35">
      <c r="A116">
        <v>57</v>
      </c>
    </row>
    <row r="118" spans="1:10" x14ac:dyDescent="0.35">
      <c r="A118" t="s">
        <v>54</v>
      </c>
    </row>
    <row r="119" spans="1:10" x14ac:dyDescent="0.35">
      <c r="A119" s="3"/>
    </row>
    <row r="122" spans="1:10" x14ac:dyDescent="0.35">
      <c r="A122" t="s">
        <v>55</v>
      </c>
    </row>
    <row r="123" spans="1:10" x14ac:dyDescent="0.35">
      <c r="A123" t="s">
        <v>56</v>
      </c>
    </row>
    <row r="124" spans="1:10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7" spans="1:10" s="9" customFormat="1" ht="31" x14ac:dyDescent="0.7">
      <c r="A137" s="10" t="s">
        <v>57</v>
      </c>
    </row>
    <row r="139" spans="1:10" x14ac:dyDescent="0.35">
      <c r="A139" t="s">
        <v>58</v>
      </c>
    </row>
    <row r="140" spans="1:10" x14ac:dyDescent="0.35">
      <c r="A140" t="s">
        <v>59</v>
      </c>
    </row>
    <row r="141" spans="1:10" x14ac:dyDescent="0.35">
      <c r="A141">
        <v>1</v>
      </c>
      <c r="B141">
        <v>2</v>
      </c>
      <c r="C141">
        <v>3</v>
      </c>
      <c r="D141">
        <v>4</v>
      </c>
      <c r="E141">
        <v>5</v>
      </c>
      <c r="F141">
        <v>6</v>
      </c>
      <c r="G141">
        <v>7</v>
      </c>
      <c r="H141">
        <v>8</v>
      </c>
    </row>
    <row r="142" spans="1:10" x14ac:dyDescent="0.35">
      <c r="A142" s="4">
        <f>A141</f>
        <v>1</v>
      </c>
      <c r="B142" s="4">
        <f t="shared" ref="B142:D142" si="0">B141</f>
        <v>2</v>
      </c>
      <c r="C142" s="4">
        <f t="shared" si="0"/>
        <v>3</v>
      </c>
      <c r="D142" s="4">
        <f t="shared" si="0"/>
        <v>4</v>
      </c>
      <c r="E142" s="3"/>
      <c r="F142" s="3"/>
      <c r="G142" s="3"/>
      <c r="H142" s="3"/>
    </row>
    <row r="145" spans="1:8" x14ac:dyDescent="0.35">
      <c r="A145" t="s">
        <v>60</v>
      </c>
    </row>
    <row r="146" spans="1:8" x14ac:dyDescent="0.35">
      <c r="A146" t="s">
        <v>61</v>
      </c>
    </row>
    <row r="147" spans="1:8" x14ac:dyDescent="0.35">
      <c r="A147" t="s">
        <v>63</v>
      </c>
    </row>
    <row r="148" spans="1:8" x14ac:dyDescent="0.35">
      <c r="A148" t="s">
        <v>64</v>
      </c>
    </row>
    <row r="151" spans="1:8" ht="15" thickBot="1" x14ac:dyDescent="0.4">
      <c r="A151" s="18" t="s">
        <v>62</v>
      </c>
      <c r="B151">
        <v>1</v>
      </c>
      <c r="C151">
        <v>2</v>
      </c>
      <c r="D151">
        <v>3</v>
      </c>
      <c r="E151">
        <v>4</v>
      </c>
      <c r="F151">
        <v>5</v>
      </c>
      <c r="G151">
        <v>6</v>
      </c>
      <c r="H151">
        <v>7</v>
      </c>
    </row>
    <row r="152" spans="1:8" ht="15" thickBot="1" x14ac:dyDescent="0.4">
      <c r="A152" s="17">
        <v>5</v>
      </c>
      <c r="B152" s="5">
        <f>B151*A152</f>
        <v>5</v>
      </c>
    </row>
    <row r="155" spans="1:8" x14ac:dyDescent="0.35">
      <c r="A155" t="s">
        <v>66</v>
      </c>
    </row>
    <row r="157" spans="1:8" ht="15" thickBot="1" x14ac:dyDescent="0.4">
      <c r="A157" s="18" t="s">
        <v>65</v>
      </c>
      <c r="B157">
        <v>1</v>
      </c>
      <c r="C157">
        <v>2</v>
      </c>
      <c r="D157">
        <v>3</v>
      </c>
      <c r="E157">
        <v>4</v>
      </c>
      <c r="F157">
        <v>5</v>
      </c>
      <c r="G157">
        <v>6</v>
      </c>
      <c r="H157">
        <v>7</v>
      </c>
    </row>
    <row r="158" spans="1:8" ht="15" thickBot="1" x14ac:dyDescent="0.4">
      <c r="A158" s="19">
        <v>5</v>
      </c>
      <c r="B158" s="5">
        <f>B$157*$A158</f>
        <v>5</v>
      </c>
      <c r="C158" s="3"/>
      <c r="D158" s="3"/>
      <c r="E158" s="3"/>
      <c r="F158" s="3"/>
      <c r="G158" s="3"/>
      <c r="H158" s="3"/>
    </row>
    <row r="159" spans="1:8" ht="15" thickBot="1" x14ac:dyDescent="0.4">
      <c r="A159" s="19">
        <v>4</v>
      </c>
      <c r="B159" s="3"/>
      <c r="C159" s="3"/>
      <c r="D159" s="3"/>
      <c r="E159" s="3"/>
      <c r="F159" s="3"/>
      <c r="G159" s="3"/>
      <c r="H159" s="3"/>
    </row>
    <row r="160" spans="1:8" ht="15" thickBot="1" x14ac:dyDescent="0.4">
      <c r="A160" s="19">
        <v>7</v>
      </c>
      <c r="B160" s="3"/>
      <c r="C160" s="3"/>
      <c r="D160" s="3"/>
      <c r="E160" s="3"/>
      <c r="F160" s="3"/>
      <c r="G160" s="3"/>
      <c r="H160" s="3"/>
    </row>
    <row r="161" spans="1:8" ht="15" thickBot="1" x14ac:dyDescent="0.4">
      <c r="A161" s="19">
        <v>1</v>
      </c>
      <c r="B161" s="3"/>
      <c r="C161" s="3"/>
      <c r="D161" s="3"/>
      <c r="E161" s="3"/>
      <c r="F161" s="3"/>
      <c r="G161" s="3"/>
      <c r="H161" s="3"/>
    </row>
    <row r="162" spans="1:8" ht="15" thickBot="1" x14ac:dyDescent="0.4">
      <c r="A162" s="19">
        <v>8</v>
      </c>
      <c r="B162" s="3"/>
      <c r="C162" s="3"/>
      <c r="D162" s="3"/>
      <c r="E162" s="3"/>
      <c r="F162" s="3"/>
      <c r="G162" s="3"/>
      <c r="H162" s="3"/>
    </row>
  </sheetData>
  <conditionalFormatting sqref="A119">
    <cfRule type="cellIs" dxfId="4" priority="1" operator="equal">
      <formula>255</formula>
    </cfRule>
  </conditionalFormatting>
  <conditionalFormatting sqref="C61">
    <cfRule type="cellIs" dxfId="3" priority="3" operator="equal">
      <formula>5342</formula>
    </cfRule>
  </conditionalFormatting>
  <conditionalFormatting sqref="D51">
    <cfRule type="cellIs" dxfId="2" priority="5" operator="equal">
      <formula>82</formula>
    </cfRule>
  </conditionalFormatting>
  <conditionalFormatting sqref="D56">
    <cfRule type="cellIs" dxfId="1" priority="4" operator="equal">
      <formula>2</formula>
    </cfRule>
  </conditionalFormatting>
  <conditionalFormatting sqref="K67">
    <cfRule type="cellIs" dxfId="0" priority="2" operator="equal">
      <formula>169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721F9-D241-4071-831B-604643AF0551}">
  <dimension ref="A1:V28"/>
  <sheetViews>
    <sheetView tabSelected="1" topLeftCell="A13" zoomScale="121" zoomScaleNormal="130" workbookViewId="0">
      <selection activeCell="A29" sqref="A29"/>
    </sheetView>
  </sheetViews>
  <sheetFormatPr defaultRowHeight="14.5" x14ac:dyDescent="0.35"/>
  <cols>
    <col min="1" max="1" width="28.1796875" customWidth="1"/>
    <col min="3" max="3" width="0.81640625" customWidth="1"/>
    <col min="4" max="4" width="8.90625" customWidth="1"/>
    <col min="5" max="5" width="1.08984375" customWidth="1"/>
    <col min="7" max="7" width="1.26953125" customWidth="1"/>
  </cols>
  <sheetData>
    <row r="1" spans="1:22" ht="31" x14ac:dyDescent="0.7">
      <c r="A1" s="2" t="s">
        <v>45</v>
      </c>
    </row>
    <row r="3" spans="1:22" ht="18.5" x14ac:dyDescent="0.45">
      <c r="A3" s="1" t="s">
        <v>71</v>
      </c>
      <c r="D3" s="22"/>
      <c r="E3" s="22"/>
      <c r="F3" s="22"/>
      <c r="G3" s="22"/>
      <c r="H3" s="22"/>
      <c r="I3" s="22"/>
      <c r="J3" s="22"/>
      <c r="Q3" s="20"/>
      <c r="R3" s="20"/>
      <c r="S3" s="20"/>
      <c r="T3" s="20"/>
      <c r="U3" s="20"/>
      <c r="V3" s="20"/>
    </row>
    <row r="4" spans="1:22" ht="18.5" x14ac:dyDescent="0.45">
      <c r="A4" s="24" t="s">
        <v>72</v>
      </c>
      <c r="B4" s="23"/>
      <c r="C4" s="23"/>
      <c r="D4" s="23"/>
    </row>
    <row r="5" spans="1:22" ht="18.5" x14ac:dyDescent="0.45">
      <c r="A5" s="25"/>
      <c r="B5" s="26"/>
      <c r="C5" s="26"/>
      <c r="D5" s="26"/>
      <c r="M5" s="21" t="s">
        <v>41</v>
      </c>
      <c r="N5" s="21"/>
      <c r="O5" s="21"/>
      <c r="P5" s="21"/>
      <c r="Q5" s="21"/>
      <c r="R5" s="21"/>
    </row>
    <row r="6" spans="1:22" ht="18.5" x14ac:dyDescent="0.45">
      <c r="A6" s="25"/>
      <c r="B6" s="26"/>
      <c r="C6" s="26"/>
      <c r="D6" s="26"/>
    </row>
    <row r="8" spans="1:22" x14ac:dyDescent="0.35">
      <c r="A8" s="22" t="s">
        <v>69</v>
      </c>
      <c r="B8">
        <v>192</v>
      </c>
      <c r="C8" t="s">
        <v>24</v>
      </c>
      <c r="D8">
        <v>168</v>
      </c>
      <c r="E8" t="s">
        <v>24</v>
      </c>
      <c r="F8">
        <v>0</v>
      </c>
      <c r="G8" t="s">
        <v>24</v>
      </c>
      <c r="H8">
        <v>12</v>
      </c>
    </row>
    <row r="9" spans="1:22" x14ac:dyDescent="0.35">
      <c r="A9" s="22" t="s">
        <v>67</v>
      </c>
      <c r="B9">
        <v>255</v>
      </c>
      <c r="C9" t="s">
        <v>24</v>
      </c>
      <c r="D9">
        <v>255</v>
      </c>
      <c r="E9" t="s">
        <v>24</v>
      </c>
      <c r="F9">
        <v>255</v>
      </c>
      <c r="G9" t="s">
        <v>24</v>
      </c>
      <c r="H9">
        <v>0</v>
      </c>
    </row>
    <row r="10" spans="1:22" x14ac:dyDescent="0.35">
      <c r="A10" s="3" t="s">
        <v>26</v>
      </c>
      <c r="B10" s="3"/>
      <c r="C10" s="3" t="s">
        <v>24</v>
      </c>
      <c r="D10" s="3"/>
      <c r="E10" s="3" t="s">
        <v>24</v>
      </c>
      <c r="F10" s="3"/>
      <c r="G10" s="3" t="s">
        <v>24</v>
      </c>
      <c r="H10" s="3"/>
      <c r="J10" t="s">
        <v>75</v>
      </c>
    </row>
    <row r="14" spans="1:22" x14ac:dyDescent="0.35">
      <c r="A14" s="23" t="s">
        <v>70</v>
      </c>
      <c r="B14">
        <v>192</v>
      </c>
      <c r="C14" t="s">
        <v>24</v>
      </c>
      <c r="D14">
        <v>168</v>
      </c>
      <c r="E14" t="s">
        <v>24</v>
      </c>
      <c r="F14">
        <v>34</v>
      </c>
      <c r="G14" t="s">
        <v>24</v>
      </c>
      <c r="H14">
        <v>12</v>
      </c>
    </row>
    <row r="15" spans="1:22" x14ac:dyDescent="0.35">
      <c r="A15" s="3" t="s">
        <v>50</v>
      </c>
      <c r="B15" s="3"/>
      <c r="C15" s="3" t="s">
        <v>24</v>
      </c>
      <c r="D15" s="3"/>
      <c r="E15" s="3" t="s">
        <v>24</v>
      </c>
      <c r="F15" s="3"/>
      <c r="G15" s="3" t="s">
        <v>24</v>
      </c>
      <c r="H15" s="3"/>
      <c r="J15" t="s">
        <v>27</v>
      </c>
    </row>
    <row r="17" spans="1:10" x14ac:dyDescent="0.35">
      <c r="J17" t="s">
        <v>28</v>
      </c>
    </row>
    <row r="21" spans="1:10" x14ac:dyDescent="0.35">
      <c r="B21" s="27" t="s">
        <v>46</v>
      </c>
      <c r="C21" s="27"/>
      <c r="D21" s="27"/>
      <c r="E21" s="27"/>
      <c r="F21" s="27"/>
    </row>
    <row r="22" spans="1:10" x14ac:dyDescent="0.35">
      <c r="A22" t="s">
        <v>25</v>
      </c>
      <c r="B22" s="27"/>
      <c r="C22" s="27"/>
      <c r="D22" s="27"/>
      <c r="E22" s="27"/>
      <c r="F22" s="27"/>
    </row>
    <row r="23" spans="1:10" x14ac:dyDescent="0.35">
      <c r="B23" s="27"/>
      <c r="C23" s="27"/>
      <c r="D23" s="27"/>
      <c r="E23" s="27"/>
      <c r="F23" s="27"/>
    </row>
    <row r="25" spans="1:10" ht="31" x14ac:dyDescent="0.7">
      <c r="A25" s="2" t="s">
        <v>73</v>
      </c>
    </row>
    <row r="26" spans="1:10" x14ac:dyDescent="0.35">
      <c r="A26" t="s">
        <v>74</v>
      </c>
    </row>
    <row r="27" spans="1:10" x14ac:dyDescent="0.35">
      <c r="A27" t="s">
        <v>76</v>
      </c>
    </row>
    <row r="28" spans="1:10" x14ac:dyDescent="0.35">
      <c r="A28" t="s">
        <v>77</v>
      </c>
    </row>
  </sheetData>
  <mergeCells count="2">
    <mergeCell ref="B21:F23"/>
    <mergeCell ref="M5:R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0886E-6230-44AA-AB02-85890F3B0BBF}">
  <dimension ref="A2:T11"/>
  <sheetViews>
    <sheetView zoomScale="89" zoomScaleNormal="100" workbookViewId="0">
      <selection activeCell="S3" sqref="S3"/>
    </sheetView>
  </sheetViews>
  <sheetFormatPr defaultRowHeight="14.5" x14ac:dyDescent="0.35"/>
  <cols>
    <col min="1" max="1" width="16.6328125" customWidth="1"/>
    <col min="2" max="2" width="10.453125" bestFit="1" customWidth="1"/>
    <col min="3" max="3" width="1.7265625" customWidth="1"/>
    <col min="4" max="4" width="5.08984375" customWidth="1"/>
    <col min="5" max="5" width="1.81640625" customWidth="1"/>
    <col min="6" max="6" width="5.54296875" customWidth="1"/>
    <col min="7" max="7" width="1.453125" customWidth="1"/>
    <col min="8" max="8" width="5.90625" customWidth="1"/>
    <col min="11" max="11" width="10.453125" bestFit="1" customWidth="1"/>
    <col min="12" max="12" width="1.453125" customWidth="1"/>
    <col min="13" max="13" width="10.453125" bestFit="1" customWidth="1"/>
    <col min="14" max="14" width="1.453125" customWidth="1"/>
    <col min="15" max="15" width="10.453125" bestFit="1" customWidth="1"/>
    <col min="16" max="16" width="1.453125" customWidth="1"/>
    <col min="17" max="17" width="10.453125" bestFit="1" customWidth="1"/>
    <col min="20" max="20" width="7.1796875" customWidth="1"/>
    <col min="21" max="21" width="10.6328125" customWidth="1"/>
    <col min="22" max="22" width="10.26953125" customWidth="1"/>
  </cols>
  <sheetData>
    <row r="2" spans="1:20" ht="15" x14ac:dyDescent="0.4">
      <c r="S2" s="14" t="s">
        <v>48</v>
      </c>
      <c r="T2" s="11" t="s">
        <v>23</v>
      </c>
    </row>
    <row r="3" spans="1:20" s="11" customFormat="1" ht="15" x14ac:dyDescent="0.4">
      <c r="A3" s="12" t="s">
        <v>47</v>
      </c>
      <c r="B3" s="12">
        <v>192</v>
      </c>
      <c r="C3" s="12" t="s">
        <v>24</v>
      </c>
      <c r="D3" s="12">
        <v>168</v>
      </c>
      <c r="E3" s="12" t="s">
        <v>24</v>
      </c>
      <c r="F3" s="12">
        <v>61</v>
      </c>
      <c r="G3" s="12" t="s">
        <v>24</v>
      </c>
      <c r="H3" s="12">
        <v>1</v>
      </c>
      <c r="I3" s="12"/>
      <c r="J3" s="12" t="s">
        <v>23</v>
      </c>
      <c r="K3" s="12" t="str">
        <f>DEC2BIN(B3,8)</f>
        <v>11000000</v>
      </c>
      <c r="L3" s="12" t="s">
        <v>24</v>
      </c>
      <c r="M3" s="12" t="str">
        <f>DEC2BIN(D3,8)</f>
        <v>10101000</v>
      </c>
      <c r="N3" s="12" t="s">
        <v>24</v>
      </c>
      <c r="O3" s="12" t="str">
        <f>DEC2BIN(F3,8)</f>
        <v>00111101</v>
      </c>
      <c r="P3" s="12" t="s">
        <v>24</v>
      </c>
      <c r="Q3" s="12" t="str">
        <f>DEC2BIN(H3,8)</f>
        <v>00000001</v>
      </c>
      <c r="S3" s="16">
        <v>255</v>
      </c>
      <c r="T3" s="11" t="str">
        <f>DEC2BIN(S3,8)</f>
        <v>11111111</v>
      </c>
    </row>
    <row r="4" spans="1:20" s="11" customFormat="1" ht="15" x14ac:dyDescent="0.4">
      <c r="A4" s="13" t="s">
        <v>22</v>
      </c>
      <c r="B4" s="13">
        <v>255</v>
      </c>
      <c r="C4" s="13" t="s">
        <v>24</v>
      </c>
      <c r="D4" s="13">
        <v>255</v>
      </c>
      <c r="E4" s="13" t="s">
        <v>24</v>
      </c>
      <c r="F4" s="13">
        <v>255</v>
      </c>
      <c r="G4" s="13" t="s">
        <v>24</v>
      </c>
      <c r="H4" s="13">
        <v>0</v>
      </c>
      <c r="I4" s="13"/>
      <c r="J4" s="13" t="s">
        <v>23</v>
      </c>
      <c r="K4" s="13" t="str">
        <f>DEC2BIN(B4,8)</f>
        <v>11111111</v>
      </c>
      <c r="L4" s="13" t="s">
        <v>24</v>
      </c>
      <c r="M4" s="13" t="str">
        <f>DEC2BIN(D4,8)</f>
        <v>11111111</v>
      </c>
      <c r="N4" s="13" t="s">
        <v>24</v>
      </c>
      <c r="O4" s="13" t="str">
        <f>DEC2BIN(F4,8)</f>
        <v>11111111</v>
      </c>
      <c r="P4" s="13" t="s">
        <v>24</v>
      </c>
      <c r="Q4" s="13" t="str">
        <f>DEC2BIN(H4,8)</f>
        <v>00000000</v>
      </c>
      <c r="S4" s="11">
        <v>254</v>
      </c>
      <c r="T4" s="11" t="str">
        <f t="shared" ref="T4:T11" si="0">DEC2BIN(S4,8)</f>
        <v>11111110</v>
      </c>
    </row>
    <row r="5" spans="1:20" s="11" customFormat="1" ht="15" x14ac:dyDescent="0.4">
      <c r="S5" s="16">
        <v>252</v>
      </c>
      <c r="T5" s="11" t="str">
        <f t="shared" si="0"/>
        <v>11111100</v>
      </c>
    </row>
    <row r="6" spans="1:20" s="11" customFormat="1" ht="15" x14ac:dyDescent="0.4">
      <c r="A6" s="15" t="s">
        <v>49</v>
      </c>
      <c r="B6" s="15">
        <f>_xlfn.BITAND(B3,B4)</f>
        <v>192</v>
      </c>
      <c r="C6" s="15" t="s">
        <v>24</v>
      </c>
      <c r="D6" s="15">
        <f t="shared" ref="D6:H6" si="1">_xlfn.BITAND(D3,D4)</f>
        <v>168</v>
      </c>
      <c r="E6" s="15" t="s">
        <v>24</v>
      </c>
      <c r="F6" s="15">
        <f t="shared" si="1"/>
        <v>61</v>
      </c>
      <c r="G6" s="15" t="s">
        <v>24</v>
      </c>
      <c r="H6" s="15">
        <f t="shared" si="1"/>
        <v>0</v>
      </c>
      <c r="I6" s="15"/>
      <c r="J6" s="15" t="s">
        <v>23</v>
      </c>
      <c r="K6" s="15" t="str">
        <f>DEC2BIN(B6,8)</f>
        <v>11000000</v>
      </c>
      <c r="L6" s="15" t="s">
        <v>24</v>
      </c>
      <c r="M6" s="15" t="str">
        <f t="shared" ref="M6:Q6" si="2">DEC2BIN(D6,8)</f>
        <v>10101000</v>
      </c>
      <c r="N6" s="15" t="s">
        <v>24</v>
      </c>
      <c r="O6" s="15" t="str">
        <f t="shared" si="2"/>
        <v>00111101</v>
      </c>
      <c r="P6" s="15" t="s">
        <v>24</v>
      </c>
      <c r="Q6" s="15" t="str">
        <f t="shared" si="2"/>
        <v>00000000</v>
      </c>
      <c r="S6" s="11">
        <v>248</v>
      </c>
      <c r="T6" s="11" t="str">
        <f t="shared" si="0"/>
        <v>11111000</v>
      </c>
    </row>
    <row r="7" spans="1:20" s="11" customFormat="1" ht="15" x14ac:dyDescent="0.4">
      <c r="S7" s="11">
        <v>240</v>
      </c>
      <c r="T7" s="11" t="str">
        <f t="shared" si="0"/>
        <v>11110000</v>
      </c>
    </row>
    <row r="8" spans="1:20" s="11" customFormat="1" ht="15" x14ac:dyDescent="0.4">
      <c r="S8" s="11">
        <v>224</v>
      </c>
      <c r="T8" s="11" t="str">
        <f t="shared" si="0"/>
        <v>11100000</v>
      </c>
    </row>
    <row r="9" spans="1:20" s="11" customFormat="1" ht="15" x14ac:dyDescent="0.4">
      <c r="S9" s="11">
        <v>192</v>
      </c>
      <c r="T9" s="11" t="str">
        <f t="shared" si="0"/>
        <v>11000000</v>
      </c>
    </row>
    <row r="10" spans="1:20" ht="15" x14ac:dyDescent="0.4">
      <c r="S10" s="11">
        <v>128</v>
      </c>
      <c r="T10" s="11" t="str">
        <f t="shared" si="0"/>
        <v>10000000</v>
      </c>
    </row>
    <row r="11" spans="1:20" ht="15" x14ac:dyDescent="0.4">
      <c r="S11" s="11">
        <v>0</v>
      </c>
      <c r="T11" s="11" t="str">
        <f t="shared" si="0"/>
        <v>00000000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Einstieg</vt:lpstr>
      <vt:lpstr>IP-Router</vt:lpstr>
      <vt:lpstr>Binäre Erklärung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Chéhab</dc:creator>
  <cp:lastModifiedBy>Marc Chéhab</cp:lastModifiedBy>
  <dcterms:created xsi:type="dcterms:W3CDTF">2023-06-12T09:54:59Z</dcterms:created>
  <dcterms:modified xsi:type="dcterms:W3CDTF">2023-07-04T13:25:23Z</dcterms:modified>
</cp:coreProperties>
</file>