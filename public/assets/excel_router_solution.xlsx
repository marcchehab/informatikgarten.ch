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c\git\informatikgarten.ch\content\3 Computer &amp; Netzwerke\2 Netzwerke und das Internet\"/>
    </mc:Choice>
  </mc:AlternateContent>
  <xr:revisionPtr revIDLastSave="0" documentId="13_ncr:1_{CCC6E85E-6066-4F05-B6F1-4C57F0F70A4D}" xr6:coauthVersionLast="47" xr6:coauthVersionMax="47" xr10:uidLastSave="{00000000-0000-0000-0000-000000000000}"/>
  <bookViews>
    <workbookView xWindow="-110" yWindow="-110" windowWidth="22620" windowHeight="14220" activeTab="2" xr2:uid="{8B4C5CB2-983E-4FDC-89E4-8A1111F2665D}"/>
  </bookViews>
  <sheets>
    <sheet name="Einstieg" sheetId="1" r:id="rId1"/>
    <sheet name="Binäre Erklärung" sheetId="3" r:id="rId2"/>
    <sheet name="IP-Rout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2" l="1"/>
  <c r="R8" i="2"/>
  <c r="S8" i="2"/>
  <c r="T8" i="2"/>
  <c r="U8" i="2"/>
  <c r="B30" i="2"/>
  <c r="C30" i="2"/>
  <c r="D30" i="2"/>
  <c r="E30" i="2"/>
  <c r="F30" i="2"/>
  <c r="T30" i="2" s="1"/>
  <c r="G30" i="2"/>
  <c r="H30" i="2"/>
  <c r="U30" i="2" s="1"/>
  <c r="AC9" i="2" s="1"/>
  <c r="J30" i="2"/>
  <c r="K30" i="2"/>
  <c r="L30" i="2"/>
  <c r="M30" i="2"/>
  <c r="N30" i="2"/>
  <c r="O30" i="2"/>
  <c r="P30" i="2"/>
  <c r="J29" i="2"/>
  <c r="R29" i="2" s="1"/>
  <c r="Z8" i="2" s="1"/>
  <c r="K29" i="2"/>
  <c r="L29" i="2"/>
  <c r="S29" i="2" s="1"/>
  <c r="M29" i="2"/>
  <c r="N29" i="2"/>
  <c r="O29" i="2"/>
  <c r="P29" i="2"/>
  <c r="T29" i="2"/>
  <c r="AB8" i="2" s="1"/>
  <c r="U29" i="2"/>
  <c r="AC8" i="2" s="1"/>
  <c r="R9" i="2"/>
  <c r="S9" i="2"/>
  <c r="T9" i="2"/>
  <c r="AB9" i="2" s="1"/>
  <c r="U9" i="2"/>
  <c r="K5" i="3"/>
  <c r="M5" i="3"/>
  <c r="O5" i="3"/>
  <c r="Q5" i="3"/>
  <c r="K6" i="3"/>
  <c r="M6" i="3"/>
  <c r="O6" i="3"/>
  <c r="Q6" i="3"/>
  <c r="K7" i="3"/>
  <c r="M7" i="3"/>
  <c r="O7" i="3"/>
  <c r="Q7" i="3"/>
  <c r="K8" i="3"/>
  <c r="M8" i="3"/>
  <c r="O8" i="3"/>
  <c r="Q8" i="3"/>
  <c r="K9" i="3"/>
  <c r="M9" i="3"/>
  <c r="O9" i="3"/>
  <c r="Q9" i="3"/>
  <c r="K10" i="3"/>
  <c r="M10" i="3"/>
  <c r="O10" i="3"/>
  <c r="Q10" i="3"/>
  <c r="B158" i="1"/>
  <c r="B152" i="1"/>
  <c r="B142" i="1"/>
  <c r="C142" i="1"/>
  <c r="D142" i="1"/>
  <c r="A142" i="1"/>
  <c r="M14" i="3"/>
  <c r="K14" i="3"/>
  <c r="D14" i="3"/>
  <c r="F14" i="3"/>
  <c r="O14" i="3" s="1"/>
  <c r="H14" i="3"/>
  <c r="Q14" i="3" s="1"/>
  <c r="B14" i="3"/>
  <c r="T4" i="3"/>
  <c r="T5" i="3"/>
  <c r="T6" i="3"/>
  <c r="T7" i="3"/>
  <c r="T8" i="3"/>
  <c r="T9" i="3"/>
  <c r="T10" i="3"/>
  <c r="T11" i="3"/>
  <c r="T3" i="3"/>
  <c r="M12" i="3"/>
  <c r="O12" i="3"/>
  <c r="Q12" i="3"/>
  <c r="K12" i="3"/>
  <c r="M11" i="3"/>
  <c r="O11" i="3"/>
  <c r="Q11" i="3"/>
  <c r="K11" i="3"/>
  <c r="B44" i="1"/>
  <c r="A44" i="1"/>
  <c r="F19" i="1"/>
  <c r="C13" i="1"/>
  <c r="F14" i="1"/>
  <c r="B10" i="1"/>
  <c r="C7" i="1"/>
  <c r="B7" i="1"/>
  <c r="A7" i="1"/>
  <c r="AD8" i="2" l="1"/>
  <c r="S30" i="2"/>
  <c r="AA9" i="2" s="1"/>
  <c r="R30" i="2"/>
  <c r="Z9" i="2" s="1"/>
  <c r="AD9" i="2" l="1"/>
  <c r="W9" i="2" s="1"/>
  <c r="W10" i="2"/>
  <c r="W8" i="2"/>
</calcChain>
</file>

<file path=xl/sharedStrings.xml><?xml version="1.0" encoding="utf-8"?>
<sst xmlns="http://schemas.openxmlformats.org/spreadsheetml/2006/main" count="165" uniqueCount="79">
  <si>
    <t>Einstieg: Excel-Formeln</t>
  </si>
  <si>
    <t>Wenn eine Zelle mit "=" beginnt, behandelt Excel den Inhalt als Formel.</t>
  </si>
  <si>
    <t>In den Formeln kann man rechnen, schauen Sie sich z.B. mal diese Inhalte an. Stern (*) steht für Multiplikation, Slash (/) für Division.</t>
  </si>
  <si>
    <r>
      <t xml:space="preserve">Anstatt Zahlen einzugeben, kann man bei Formel auch die </t>
    </r>
    <r>
      <rPr>
        <b/>
        <sz val="11"/>
        <color theme="1"/>
        <rFont val="Calibri"/>
        <family val="2"/>
        <scheme val="minor"/>
      </rPr>
      <t>Koordinaten einer anderen Zelle</t>
    </r>
    <r>
      <rPr>
        <sz val="11"/>
        <color theme="1"/>
        <rFont val="Calibri"/>
        <family val="2"/>
        <scheme val="minor"/>
      </rPr>
      <t xml:space="preserve"> nutzen. Schauen Sie diese beiden Zellen an.</t>
    </r>
  </si>
  <si>
    <r>
      <t xml:space="preserve">Zusätzlich kann man </t>
    </r>
    <r>
      <rPr>
        <b/>
        <sz val="11"/>
        <color theme="1"/>
        <rFont val="Calibri"/>
        <family val="2"/>
        <scheme val="minor"/>
      </rPr>
      <t xml:space="preserve">Funktionen </t>
    </r>
    <r>
      <rPr>
        <sz val="11"/>
        <color theme="1"/>
        <rFont val="Calibri"/>
        <family val="2"/>
        <scheme val="minor"/>
      </rPr>
      <t>gebrauchen, wie z.B. sum(). ACHTUNG: Excel übersetzt die Funktionen in andere Sprachen, also vielleicht heisst die Funktion bei Ihnen "summe()".</t>
    </r>
  </si>
  <si>
    <r>
      <t xml:space="preserve">Viele dieser Funktionen können auch mit </t>
    </r>
    <r>
      <rPr>
        <b/>
        <sz val="11"/>
        <color theme="1"/>
        <rFont val="Calibri"/>
        <family val="2"/>
        <scheme val="minor"/>
      </rPr>
      <t>Koordinaten für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ganze Bereiche </t>
    </r>
    <r>
      <rPr>
        <sz val="11"/>
        <color theme="1"/>
        <rFont val="Calibri"/>
        <family val="2"/>
        <scheme val="minor"/>
      </rPr>
      <t>umgehen.</t>
    </r>
  </si>
  <si>
    <t>Sie sind sicher einverstanden, dass die Formel des letzten Beispiels etwas unschön ist.</t>
  </si>
  <si>
    <t>Hier nochmal dasselbe Beispiel einfacher geschrieben:</t>
  </si>
  <si>
    <t>Um weitere Funktionen zu finden, drücken</t>
  </si>
  <si>
    <t>Sie oben auf das "fx"-Symbol</t>
  </si>
  <si>
    <t>Jetzt sind Sie dran!</t>
  </si>
  <si>
    <t>Lösen Sie folgende Aufgaben</t>
  </si>
  <si>
    <t>Inputs sind orange</t>
  </si>
  <si>
    <t>Ihre Formel / das Ergebnis ist gelb</t>
  </si>
  <si>
    <t>1.) Summieren Sie diesen ganzen Bereich:</t>
  </si>
  <si>
    <t>2.) Finden Sie die kleinste Zahl mit der Funktion min()</t>
  </si>
  <si>
    <t>3.) Dividieren Sie die erste Zahl durch die zweite mit deren Koordinaten:</t>
  </si>
  <si>
    <t>Zwischenergebnisse sind hellblau</t>
  </si>
  <si>
    <t>Zahlenbeispiel</t>
  </si>
  <si>
    <t>12-5=</t>
  </si>
  <si>
    <t>4.) Summieren Sie die Ergebnisse aller Substraktionen</t>
  </si>
  <si>
    <t>5.) Nutzen Sie die Funktion if(), auf Deutsch wenn(), um die "Zahlen sind gleich!" auszugeben, wenn beide Zahlen gleich sind, oder "Zahlen sind ungleich!", wenn sie ungleich sind.</t>
  </si>
  <si>
    <t>Subnet-Maske</t>
  </si>
  <si>
    <t>Binär</t>
  </si>
  <si>
    <t>.</t>
  </si>
  <si>
    <t>6.) Überprüfen Sie, ob alle Zahlenpaare in den Zeilen gleich sind</t>
  </si>
  <si>
    <r>
      <t xml:space="preserve">Excel kann Zellen </t>
    </r>
    <r>
      <rPr>
        <b/>
        <sz val="11"/>
        <color theme="1"/>
        <rFont val="Calibri"/>
        <family val="2"/>
        <scheme val="minor"/>
      </rPr>
      <t>automatisch erweitern</t>
    </r>
    <r>
      <rPr>
        <sz val="11"/>
        <color theme="1"/>
        <rFont val="Calibri"/>
        <family val="2"/>
        <scheme val="minor"/>
      </rPr>
      <t>.</t>
    </r>
  </si>
  <si>
    <t>Wenn Sie einen Bereich markieren, erscheint</t>
  </si>
  <si>
    <t>rechts unten ein kleines Quadrat. Gehen Sie mit</t>
  </si>
  <si>
    <t>der Maus in die Nähe und Ihr Cursor verwandelt sich</t>
  </si>
  <si>
    <t>in ein schwarzes Kreuz. Ziehen Sie den Bereich weiter</t>
  </si>
  <si>
    <t>und Zahlen sowie Formeln werden automatisch ergänzt.</t>
  </si>
  <si>
    <t>Markieren Sie diese Formeln und erweitern Sie sie nach rechts:</t>
  </si>
  <si>
    <t>Markieren Sie diese Zahlenreihen und erweitern Sie sie nach rechts:</t>
  </si>
  <si>
    <t>Sind alle gleich?</t>
  </si>
  <si>
    <t>Ja/Nein</t>
  </si>
  <si>
    <t>Wie viele sind gleich?</t>
  </si>
  <si>
    <t>&lt;- Summe aller blauen Zwischenergebnisse</t>
  </si>
  <si>
    <t>Tipp: Sie können den Wert mit if() / wenn() auf 0 oder 1 setzen</t>
  </si>
  <si>
    <t>Tipp: Es gibt eine Funktion, um die Anzahl Reihen eines Bereichs zu zählen.</t>
  </si>
  <si>
    <t>IP-Adresse</t>
  </si>
  <si>
    <t>Dezimal</t>
  </si>
  <si>
    <t>Netzwerk-Adr.</t>
  </si>
  <si>
    <t>101</t>
  </si>
  <si>
    <t>7.) Nutzen Sie die Funktion dec2bin() und bin2dec(), um Dezimalzahlen zu Binärzahlen umzurechen und wieder zurück.</t>
  </si>
  <si>
    <t xml:space="preserve">8.) dec2bin() hat ein Argument, um eine fixe Anzahl Ziffern auszugeben. </t>
  </si>
  <si>
    <t>9.) Was ist die grösste Zahl, die mit 8 Binärziffern gespeichert werden kann?</t>
  </si>
  <si>
    <t>10.) Mit der Funktion rand() können Sie Zufallszahlen generieren zwischen 0 und 1. Mit round() können Sie Zahlen runden.</t>
  </si>
  <si>
    <t>Können Sie mir eine Tabelle von 10*10 Zufallszahlen zwischen 1 und 100 generieren?</t>
  </si>
  <si>
    <t>Richtig erweitern</t>
  </si>
  <si>
    <t>Excel kann Zellen automatisch erweitern, zB erweitern Sie den orangen Bereich ins Gelbe</t>
  </si>
  <si>
    <t>und schauen Sie, wie sich die Koordinaten automatisch richtig erweitert haben.</t>
  </si>
  <si>
    <r>
      <t xml:space="preserve">Nun kann man steuern, </t>
    </r>
    <r>
      <rPr>
        <b/>
        <sz val="11"/>
        <color theme="1"/>
        <rFont val="Calibri"/>
        <family val="2"/>
        <scheme val="minor"/>
      </rPr>
      <t xml:space="preserve">wie </t>
    </r>
    <r>
      <rPr>
        <sz val="11"/>
        <color theme="1"/>
        <rFont val="Calibri"/>
        <family val="2"/>
        <scheme val="minor"/>
      </rPr>
      <t>sich die Koordinaten erweitern. Setzen Sie dazu ein $-Zeichen</t>
    </r>
  </si>
  <si>
    <t>vor den Buchstaben oder die Zahl der Koordinaten, um diese fix zu halten.</t>
  </si>
  <si>
    <t>Multiplikator</t>
  </si>
  <si>
    <t>Versuchen Sie ins blaue Feld eine Formel zu schreiben, die Sie dann einfach erweitern können, sodass ALLE Zahlen mit dem Multiplikator</t>
  </si>
  <si>
    <t>im roten Feld multipliziert werden.</t>
  </si>
  <si>
    <t>Multiplikatoren</t>
  </si>
  <si>
    <t>Ändern Sie die Formel nun so ab, dass Sie das blaue Feld auf den ganzen gelben Bereich erweitern können und immernoch alles stimmt!</t>
  </si>
  <si>
    <t>Können Sie folgende Zahlen in Binär ausgeben, sodass immer 8 Ziffern geschrieben werden?</t>
  </si>
  <si>
    <t>Ziel-IP-Adresse im Paket</t>
  </si>
  <si>
    <t>Glückwunsch: Sie sind ein Netzwerk-Router</t>
  </si>
  <si>
    <t>Sie sind ein Router und an Ihnen sind verschiedene Netzwerke angeschlossen.</t>
  </si>
  <si>
    <t>Schnittstelle 1</t>
  </si>
  <si>
    <t>IP-Adresse der Schnittstelle</t>
  </si>
  <si>
    <t>Subnet Maske der Schnittstelle</t>
  </si>
  <si>
    <t>IP-Paket hierhin?</t>
  </si>
  <si>
    <t>Schnittstelle 2</t>
  </si>
  <si>
    <t>Internet</t>
  </si>
  <si>
    <t>Leiten Sie IP-Pakete zum Internet-Service-Provider (Swisscom, Sunrise), wenn Sie nicht zu den anderen Netzwerken gehören.</t>
  </si>
  <si>
    <t>Jetzt erhalten Sie ein IP-Paket - wohin damit?</t>
  </si>
  <si>
    <t>Netzwerkadresse an der Schnittstelle</t>
  </si>
  <si>
    <t>Errechnete Netzwerkadresse</t>
  </si>
  <si>
    <t>1. Byte gleich?</t>
  </si>
  <si>
    <t>2. Byte gleich?</t>
  </si>
  <si>
    <t>3. Byte gleich?</t>
  </si>
  <si>
    <t>4. Byte gleich?</t>
  </si>
  <si>
    <t>Subnet Maske der Schnittstelle (Kopie)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</si>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</sst>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right"/>
    </xf>
    <xf numFmtId="0" fontId="4" fillId="6" borderId="0" xfId="0" applyFont="1" applyFill="1"/>
    <xf numFmtId="0" fontId="0" fillId="6" borderId="0" xfId="0" applyFill="1"/>
    <xf numFmtId="0" fontId="3" fillId="6" borderId="0" xfId="0" applyFont="1" applyFill="1"/>
    <xf numFmtId="0" fontId="6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0" borderId="0" xfId="0" applyFont="1" applyAlignment="1">
      <alignment horizontal="right"/>
    </xf>
    <xf numFmtId="0" fontId="6" fillId="7" borderId="0" xfId="0" applyFont="1" applyFill="1"/>
    <xf numFmtId="0" fontId="6" fillId="8" borderId="0" xfId="0" applyFont="1" applyFill="1"/>
    <xf numFmtId="0" fontId="0" fillId="0" borderId="1" xfId="0" applyBorder="1"/>
    <xf numFmtId="0" fontId="7" fillId="0" borderId="0" xfId="0" applyFont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Alignment="1"/>
    <xf numFmtId="0" fontId="5" fillId="0" borderId="0" xfId="0" applyFont="1" applyFill="1" applyAlignment="1">
      <alignment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9" borderId="0" xfId="0" applyFill="1"/>
    <xf numFmtId="0" fontId="0" fillId="9" borderId="5" xfId="0" applyFill="1" applyBorder="1"/>
    <xf numFmtId="0" fontId="0" fillId="9" borderId="0" xfId="0" applyFill="1" applyBorder="1"/>
    <xf numFmtId="0" fontId="0" fillId="9" borderId="6" xfId="0" applyFill="1" applyBorder="1"/>
    <xf numFmtId="0" fontId="0" fillId="10" borderId="0" xfId="0" applyFill="1"/>
    <xf numFmtId="0" fontId="0" fillId="10" borderId="5" xfId="0" applyFill="1" applyBorder="1"/>
    <xf numFmtId="0" fontId="0" fillId="10" borderId="0" xfId="0" applyFill="1" applyBorder="1"/>
    <xf numFmtId="0" fontId="0" fillId="10" borderId="6" xfId="0" applyFill="1" applyBorder="1"/>
    <xf numFmtId="0" fontId="0" fillId="11" borderId="5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/>
    <xf numFmtId="0" fontId="1" fillId="2" borderId="10" xfId="0" applyFont="1" applyFill="1" applyBorder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</cellXfs>
  <cellStyles count="1">
    <cellStyle name="Standard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215900</xdr:colOff>
      <xdr:row>19</xdr:row>
      <xdr:rowOff>107950</xdr:rowOff>
    </xdr:from>
    <xdr:to>
      <xdr:col>9</xdr:col>
      <xdr:colOff>74653</xdr:colOff>
      <xdr:row>28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A8D12C-B727-6B79-A602-48FB2B828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4300" y="3816350"/>
          <a:ext cx="2906753" cy="1682750"/>
        </a:xfrm>
        <a:prstGeom prst="rect">
          <a:avLst/>
        </a:prstGeom>
      </xdr:spPr>
    </xdr:pic>
    <xdr:clientData/>
  </xdr:twoCellAnchor>
  <xdr:twoCellAnchor>
    <xdr:from>
      <xdr:col>2</xdr:col>
      <xdr:colOff>577850</xdr:colOff>
      <xdr:row>24</xdr:row>
      <xdr:rowOff>95250</xdr:rowOff>
    </xdr:from>
    <xdr:to>
      <xdr:col>5</xdr:col>
      <xdr:colOff>476250</xdr:colOff>
      <xdr:row>24</xdr:row>
      <xdr:rowOff>139700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C2D9B8-A9CF-121A-A4F4-29A18B7EEB6D}"/>
            </a:ext>
          </a:extLst>
        </xdr:cNvPr>
        <xdr:cNvCxnSpPr/>
      </xdr:nvCxnSpPr>
      <xdr:spPr>
        <a:xfrm>
          <a:off x="1797050" y="4724400"/>
          <a:ext cx="1727200" cy="44450"/>
        </a:xfrm>
        <a:prstGeom prst="straightConnector1">
          <a:avLst/>
        </a:prstGeom>
        <a:ln w="5715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336550</xdr:colOff>
      <xdr:row>29</xdr:row>
      <xdr:rowOff>171450</xdr:rowOff>
    </xdr:from>
    <xdr:to>
      <xdr:col>7</xdr:col>
      <xdr:colOff>269731</xdr:colOff>
      <xdr:row>35</xdr:row>
      <xdr:rowOff>95121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613CD6-1FF8-1F94-E748-0C7B6B7AD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4550" y="5721350"/>
          <a:ext cx="1152381" cy="1028571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35</xdr:row>
      <xdr:rowOff>25400</xdr:rowOff>
    </xdr:from>
    <xdr:to>
      <xdr:col>7</xdr:col>
      <xdr:colOff>431800</xdr:colOff>
      <xdr:row>36</xdr:row>
      <xdr:rowOff>101600</xdr:rowOff>
    </xdr:to>
    <xdr:sp macro="" textlink="">
      <xdr:nvSpPr>
        <xdr:cNvPr id="6" name="Cross 5">
          <a:extLst>
            <a:ext uri="{FF2B5EF4-FFF2-40B4-BE49-F238E27FC236}">
              <a16:creationId xmlns:a16="http://schemas.microsoft.com/office/drawing/2014/main" id="{D192E1B6-19F5-1DC7-9AA7-9E15D79D25C1}"/>
            </a:ext>
          </a:extLst>
        </xdr:cNvPr>
        <xdr:cNvSpPr/>
      </xdr:nvSpPr>
      <xdr:spPr>
        <a:xfrm>
          <a:off x="4438650" y="6680200"/>
          <a:ext cx="260350" cy="260350"/>
        </a:xfrm>
        <a:prstGeom prst="plus">
          <a:avLst>
            <a:gd name="adj" fmla="val 35490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545171</xdr:colOff>
      <xdr:row>3</xdr:row>
      <xdr:rowOff>120001</xdr:rowOff>
    </xdr:from>
    <xdr:to>
      <xdr:col>14</xdr:col>
      <xdr:colOff>725000</xdr:colOff>
      <xdr:row>12</xdr:row>
      <xdr:rowOff>39175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9A35466-7298-4D64-A1C3-E7993A30D238}"/>
            </a:ext>
          </a:extLst>
        </xdr:cNvPr>
        <xdr:cNvSpPr/>
      </xdr:nvSpPr>
      <xdr:spPr>
        <a:xfrm>
          <a:off x="4545171" y="685001"/>
          <a:ext cx="2449829" cy="1629174"/>
        </a:xfrm>
        <a:prstGeom prst="rect">
          <a:avLst/>
        </a:prstGeom>
        <a:solidFill>
          <a:srgbClr val="FF0000">
            <a:alpha val="902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41412</xdr:colOff>
      <xdr:row>12</xdr:row>
      <xdr:rowOff>165651</xdr:rowOff>
    </xdr:from>
    <xdr:to>
      <xdr:col>17</xdr:col>
      <xdr:colOff>476250</xdr:colOff>
      <xdr:row>18</xdr:row>
      <xdr:rowOff>175351</xdr:rowOff>
    </xdr:to>
    <xdr:pic>
      <xdr:nvPicPr>
        <xdr:cNvPr id="3" name="Grafik 2" descr="Produktbild">
          <a:extLst>
            <a:ext uri="{FF2B5EF4-FFF2-40B4-BE49-F238E27FC236}">
              <a16:creationId xmlns:a16="http://schemas.microsoft.com/office/drawing/2014/main" id="{956CEC3B-85E5-95CB-1C4D-6A12340EC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51" y="2767771"/>
          <a:ext cx="4693479" cy="1127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351368</xdr:colOff>
      <xdr:row>17</xdr:row>
      <xdr:rowOff>155721</xdr:rowOff>
    </xdr:from>
    <xdr:to>
      <xdr:col>16</xdr:col>
      <xdr:colOff>12050</xdr:colOff>
      <xdr:row>23</xdr:row>
      <xdr:rowOff>155721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8DC8902B-5024-7348-8F45-FED7B4EA32C1}"/>
            </a:ext>
          </a:extLst>
        </xdr:cNvPr>
        <xdr:cNvSpPr txBox="1"/>
      </xdr:nvSpPr>
      <xdr:spPr>
        <a:xfrm rot="5400000">
          <a:off x="6924680" y="4049499"/>
          <a:ext cx="1093033" cy="26965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Schnittstelle</a:t>
          </a:r>
          <a:r>
            <a:rPr lang="de-DE" sz="1100" baseline="0"/>
            <a:t> 1</a:t>
          </a:r>
          <a:endParaRPr lang="de-DE" sz="1100"/>
        </a:p>
      </xdr:txBody>
    </xdr:sp>
    <xdr:clientData/>
  </xdr:twoCellAnchor>
  <xdr:twoCellAnchor>
    <xdr:from>
      <xdr:col>15</xdr:col>
      <xdr:colOff>18467</xdr:colOff>
      <xdr:row>17</xdr:row>
      <xdr:rowOff>154008</xdr:rowOff>
    </xdr:from>
    <xdr:to>
      <xdr:col>15</xdr:col>
      <xdr:colOff>288124</xdr:colOff>
      <xdr:row>23</xdr:row>
      <xdr:rowOff>154009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4D0CD16E-E90C-41A7-B5BB-7E7419025849}"/>
            </a:ext>
          </a:extLst>
        </xdr:cNvPr>
        <xdr:cNvSpPr txBox="1"/>
      </xdr:nvSpPr>
      <xdr:spPr>
        <a:xfrm rot="5400000">
          <a:off x="6591779" y="4047786"/>
          <a:ext cx="1093034" cy="26965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Schnittstelle</a:t>
          </a:r>
          <a:r>
            <a:rPr lang="de-DE" sz="1100" baseline="0"/>
            <a:t> 2</a:t>
          </a:r>
          <a:endParaRPr lang="de-DE" sz="1100"/>
        </a:p>
      </xdr:txBody>
    </xdr:sp>
    <xdr:clientData/>
  </xdr:twoCellAnchor>
  <xdr:twoCellAnchor>
    <xdr:from>
      <xdr:col>11</xdr:col>
      <xdr:colOff>411188</xdr:colOff>
      <xdr:row>17</xdr:row>
      <xdr:rowOff>140535</xdr:rowOff>
    </xdr:from>
    <xdr:to>
      <xdr:col>12</xdr:col>
      <xdr:colOff>71869</xdr:colOff>
      <xdr:row>23</xdr:row>
      <xdr:rowOff>140536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47E14A07-F295-4903-B4C8-BB1252841DC2}"/>
            </a:ext>
          </a:extLst>
        </xdr:cNvPr>
        <xdr:cNvSpPr txBox="1"/>
      </xdr:nvSpPr>
      <xdr:spPr>
        <a:xfrm rot="5400000">
          <a:off x="5579172" y="4034313"/>
          <a:ext cx="1093034" cy="26965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Internet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FA81-946F-40E9-B1E0-4F6FC7A0F783}">
  <dimension ref="A1:V162"/>
  <sheetViews>
    <sheetView zoomScale="145" zoomScaleNormal="145" workbookViewId="0">
      <selection activeCell="G13" sqref="G13"/>
    </sheetView>
  </sheetViews>
  <sheetFormatPr baseColWidth="10" defaultColWidth="8.7265625" defaultRowHeight="14.5" x14ac:dyDescent="0.35"/>
  <cols>
    <col min="2" max="2" width="9.1796875" customWidth="1"/>
  </cols>
  <sheetData>
    <row r="1" spans="1:22" ht="31" x14ac:dyDescent="0.7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4" spans="1:22" x14ac:dyDescent="0.35">
      <c r="A4" t="s">
        <v>1</v>
      </c>
    </row>
    <row r="5" spans="1:22" x14ac:dyDescent="0.35">
      <c r="A5" t="s">
        <v>2</v>
      </c>
    </row>
    <row r="7" spans="1:22" x14ac:dyDescent="0.35">
      <c r="A7" s="3">
        <f>1+2</f>
        <v>3</v>
      </c>
      <c r="B7" s="3">
        <f>3*4</f>
        <v>12</v>
      </c>
      <c r="C7" s="3">
        <f>4/3</f>
        <v>1.3333333333333333</v>
      </c>
    </row>
    <row r="9" spans="1:22" x14ac:dyDescent="0.35">
      <c r="A9" t="s">
        <v>3</v>
      </c>
    </row>
    <row r="10" spans="1:22" x14ac:dyDescent="0.35">
      <c r="A10" s="4">
        <v>2</v>
      </c>
      <c r="B10" s="3">
        <f>A10*3</f>
        <v>6</v>
      </c>
    </row>
    <row r="12" spans="1:22" x14ac:dyDescent="0.35">
      <c r="A12" t="s">
        <v>4</v>
      </c>
    </row>
    <row r="13" spans="1:22" x14ac:dyDescent="0.35">
      <c r="A13" s="4">
        <v>20</v>
      </c>
      <c r="B13" s="4">
        <v>5</v>
      </c>
      <c r="C13" s="3">
        <f>SUM(A13,B13)</f>
        <v>25</v>
      </c>
    </row>
    <row r="14" spans="1:22" x14ac:dyDescent="0.35">
      <c r="A14" s="4">
        <v>3</v>
      </c>
      <c r="B14" s="4">
        <v>4</v>
      </c>
      <c r="C14" s="4">
        <v>5</v>
      </c>
      <c r="D14" s="4">
        <v>1</v>
      </c>
      <c r="E14" s="4">
        <v>77</v>
      </c>
      <c r="F14" s="3">
        <f>SUM(E14, D14, C14,B14,A14)</f>
        <v>90</v>
      </c>
    </row>
    <row r="16" spans="1:22" x14ac:dyDescent="0.35">
      <c r="A16" t="s">
        <v>6</v>
      </c>
    </row>
    <row r="17" spans="1:13" x14ac:dyDescent="0.35">
      <c r="A17" t="s">
        <v>5</v>
      </c>
    </row>
    <row r="18" spans="1:13" x14ac:dyDescent="0.35">
      <c r="A18" t="s">
        <v>7</v>
      </c>
    </row>
    <row r="19" spans="1:13" x14ac:dyDescent="0.35">
      <c r="A19" s="4">
        <v>3</v>
      </c>
      <c r="B19" s="4">
        <v>4</v>
      </c>
      <c r="C19" s="4">
        <v>5</v>
      </c>
      <c r="D19" s="4">
        <v>1</v>
      </c>
      <c r="E19" s="4">
        <v>77</v>
      </c>
      <c r="F19" s="3">
        <f>SUM(A19:E19)</f>
        <v>90</v>
      </c>
    </row>
    <row r="24" spans="1:13" x14ac:dyDescent="0.35">
      <c r="A24" t="s">
        <v>8</v>
      </c>
    </row>
    <row r="25" spans="1:13" x14ac:dyDescent="0.35">
      <c r="A25" t="s">
        <v>9</v>
      </c>
    </row>
    <row r="29" spans="1:13" x14ac:dyDescent="0.35">
      <c r="M29">
        <v>1</v>
      </c>
    </row>
    <row r="30" spans="1:13" x14ac:dyDescent="0.35">
      <c r="M30">
        <v>2</v>
      </c>
    </row>
    <row r="31" spans="1:13" x14ac:dyDescent="0.35">
      <c r="M31">
        <v>3</v>
      </c>
    </row>
    <row r="32" spans="1:13" x14ac:dyDescent="0.35">
      <c r="A32" t="s">
        <v>26</v>
      </c>
    </row>
    <row r="33" spans="1:22" x14ac:dyDescent="0.35">
      <c r="A33" t="s">
        <v>27</v>
      </c>
    </row>
    <row r="34" spans="1:22" x14ac:dyDescent="0.35">
      <c r="A34" t="s">
        <v>28</v>
      </c>
    </row>
    <row r="35" spans="1:22" x14ac:dyDescent="0.35">
      <c r="A35" t="s">
        <v>29</v>
      </c>
    </row>
    <row r="36" spans="1:22" x14ac:dyDescent="0.35">
      <c r="A36" t="s">
        <v>30</v>
      </c>
    </row>
    <row r="37" spans="1:22" x14ac:dyDescent="0.35">
      <c r="A37" t="s">
        <v>31</v>
      </c>
    </row>
    <row r="39" spans="1:22" x14ac:dyDescent="0.35">
      <c r="A39" t="s">
        <v>33</v>
      </c>
    </row>
    <row r="40" spans="1:22" x14ac:dyDescent="0.35">
      <c r="A40" s="4">
        <v>1</v>
      </c>
      <c r="B40" s="4">
        <v>2</v>
      </c>
      <c r="C40" s="4">
        <v>3</v>
      </c>
      <c r="D40" s="4">
        <v>4</v>
      </c>
      <c r="E40" s="3"/>
      <c r="F40" s="3"/>
      <c r="G40" s="3"/>
      <c r="H40" s="3"/>
    </row>
    <row r="41" spans="1:22" x14ac:dyDescent="0.35">
      <c r="A41" s="4">
        <v>3</v>
      </c>
      <c r="B41" s="4">
        <v>4</v>
      </c>
      <c r="C41" s="4">
        <v>5</v>
      </c>
      <c r="D41" s="4">
        <v>6</v>
      </c>
      <c r="E41" s="3"/>
      <c r="F41" s="3"/>
      <c r="G41" s="3"/>
      <c r="H41" s="3"/>
    </row>
    <row r="43" spans="1:22" x14ac:dyDescent="0.35">
      <c r="A43" t="s">
        <v>32</v>
      </c>
    </row>
    <row r="44" spans="1:22" x14ac:dyDescent="0.35">
      <c r="A44" s="4">
        <f>A40*A41</f>
        <v>3</v>
      </c>
      <c r="B44" s="4">
        <f>B40*B41</f>
        <v>8</v>
      </c>
      <c r="C44" s="3"/>
      <c r="D44" s="3"/>
      <c r="E44" s="3"/>
      <c r="F44" s="3"/>
      <c r="G44" s="3"/>
      <c r="H44" s="3"/>
    </row>
    <row r="46" spans="1:22" ht="28.5" x14ac:dyDescent="0.65">
      <c r="A46" s="8" t="s">
        <v>10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8" spans="1:22" x14ac:dyDescent="0.35">
      <c r="A48" t="s">
        <v>11</v>
      </c>
      <c r="D48" s="4" t="s">
        <v>12</v>
      </c>
      <c r="E48" s="4"/>
      <c r="F48" s="3" t="s">
        <v>13</v>
      </c>
      <c r="G48" s="3"/>
      <c r="H48" s="3"/>
      <c r="I48" s="3"/>
      <c r="J48" s="5" t="s">
        <v>17</v>
      </c>
      <c r="K48" s="5"/>
      <c r="L48" s="5"/>
      <c r="M48" s="5"/>
    </row>
    <row r="50" spans="1:4" x14ac:dyDescent="0.35">
      <c r="A50" t="s">
        <v>14</v>
      </c>
    </row>
    <row r="51" spans="1:4" x14ac:dyDescent="0.35">
      <c r="A51" s="4">
        <v>12</v>
      </c>
      <c r="B51" s="4">
        <v>13</v>
      </c>
      <c r="C51" s="4">
        <v>5</v>
      </c>
      <c r="D51" s="3"/>
    </row>
    <row r="52" spans="1:4" x14ac:dyDescent="0.35">
      <c r="A52" s="4">
        <v>15</v>
      </c>
      <c r="B52" s="4">
        <v>17</v>
      </c>
      <c r="C52" s="4">
        <v>1</v>
      </c>
    </row>
    <row r="53" spans="1:4" x14ac:dyDescent="0.35">
      <c r="A53" s="4">
        <v>16</v>
      </c>
      <c r="B53" s="4">
        <v>1</v>
      </c>
      <c r="C53" s="4">
        <v>2</v>
      </c>
    </row>
    <row r="55" spans="1:4" x14ac:dyDescent="0.35">
      <c r="A55" t="s">
        <v>15</v>
      </c>
    </row>
    <row r="56" spans="1:4" x14ac:dyDescent="0.35">
      <c r="A56" s="4">
        <v>12</v>
      </c>
      <c r="B56" s="4">
        <v>13</v>
      </c>
      <c r="C56" s="4">
        <v>5</v>
      </c>
      <c r="D56" s="3"/>
    </row>
    <row r="57" spans="1:4" x14ac:dyDescent="0.35">
      <c r="A57" s="4">
        <v>15</v>
      </c>
      <c r="B57" s="4">
        <v>17</v>
      </c>
      <c r="C57" s="4">
        <v>2</v>
      </c>
    </row>
    <row r="58" spans="1:4" x14ac:dyDescent="0.35">
      <c r="A58" s="4">
        <v>16</v>
      </c>
      <c r="B58" s="4">
        <v>4</v>
      </c>
      <c r="C58" s="4">
        <v>3</v>
      </c>
    </row>
    <row r="60" spans="1:4" x14ac:dyDescent="0.35">
      <c r="A60" t="s">
        <v>16</v>
      </c>
    </row>
    <row r="61" spans="1:4" x14ac:dyDescent="0.35">
      <c r="A61" s="4">
        <v>192312</v>
      </c>
      <c r="B61" s="4">
        <v>36</v>
      </c>
      <c r="C61" s="3"/>
    </row>
    <row r="63" spans="1:4" x14ac:dyDescent="0.35">
      <c r="A63" t="s">
        <v>20</v>
      </c>
    </row>
    <row r="64" spans="1:4" x14ac:dyDescent="0.35">
      <c r="A64" s="6" t="s">
        <v>18</v>
      </c>
      <c r="B64" s="6"/>
    </row>
    <row r="65" spans="1:12" x14ac:dyDescent="0.35">
      <c r="A65" s="6"/>
      <c r="B65" s="6">
        <v>12</v>
      </c>
      <c r="D65">
        <v>56</v>
      </c>
      <c r="E65">
        <v>15</v>
      </c>
      <c r="F65">
        <v>35</v>
      </c>
      <c r="G65">
        <v>17</v>
      </c>
      <c r="H65">
        <v>547</v>
      </c>
      <c r="I65">
        <v>168</v>
      </c>
      <c r="J65">
        <v>11</v>
      </c>
    </row>
    <row r="66" spans="1:12" x14ac:dyDescent="0.35">
      <c r="A66" s="6"/>
      <c r="B66" s="6">
        <v>5</v>
      </c>
      <c r="D66">
        <v>45</v>
      </c>
      <c r="E66">
        <v>7</v>
      </c>
      <c r="F66">
        <v>26</v>
      </c>
      <c r="G66">
        <v>9</v>
      </c>
      <c r="H66">
        <v>451</v>
      </c>
      <c r="I66">
        <v>134</v>
      </c>
      <c r="J66">
        <v>8</v>
      </c>
    </row>
    <row r="67" spans="1:12" x14ac:dyDescent="0.35">
      <c r="A67" s="7" t="s">
        <v>19</v>
      </c>
      <c r="B67" s="6">
        <v>7</v>
      </c>
      <c r="D67" s="5"/>
      <c r="E67" s="5"/>
      <c r="F67" s="5"/>
      <c r="G67" s="5"/>
      <c r="H67" s="5"/>
      <c r="I67" s="5"/>
      <c r="J67" s="5"/>
      <c r="K67" s="3"/>
      <c r="L67" t="s">
        <v>37</v>
      </c>
    </row>
    <row r="69" spans="1:12" x14ac:dyDescent="0.35">
      <c r="A69" t="s">
        <v>21</v>
      </c>
    </row>
    <row r="70" spans="1:12" x14ac:dyDescent="0.35">
      <c r="A70" s="4">
        <v>3</v>
      </c>
      <c r="B70" s="4">
        <v>3</v>
      </c>
      <c r="C70" s="3"/>
    </row>
    <row r="72" spans="1:12" x14ac:dyDescent="0.35">
      <c r="A72" t="s">
        <v>25</v>
      </c>
    </row>
    <row r="73" spans="1:12" x14ac:dyDescent="0.35">
      <c r="A73" t="s">
        <v>38</v>
      </c>
    </row>
    <row r="75" spans="1:12" x14ac:dyDescent="0.35">
      <c r="A75" s="4">
        <v>4</v>
      </c>
      <c r="B75" s="4">
        <v>4</v>
      </c>
      <c r="C75" s="5"/>
    </row>
    <row r="76" spans="1:12" x14ac:dyDescent="0.35">
      <c r="A76" s="4">
        <v>6</v>
      </c>
      <c r="B76" s="4">
        <v>6</v>
      </c>
      <c r="C76" s="5"/>
    </row>
    <row r="77" spans="1:12" x14ac:dyDescent="0.35">
      <c r="A77" s="4">
        <v>9</v>
      </c>
      <c r="B77" s="4">
        <v>9</v>
      </c>
      <c r="C77" s="5"/>
    </row>
    <row r="78" spans="1:12" x14ac:dyDescent="0.35">
      <c r="A78" s="4">
        <v>1</v>
      </c>
      <c r="B78" s="4">
        <v>1</v>
      </c>
      <c r="C78" s="5"/>
    </row>
    <row r="79" spans="1:12" x14ac:dyDescent="0.35">
      <c r="A79" s="4">
        <v>7</v>
      </c>
      <c r="B79" s="4">
        <v>7</v>
      </c>
      <c r="C79" s="5"/>
    </row>
    <row r="80" spans="1:12" x14ac:dyDescent="0.35">
      <c r="A80" s="4">
        <v>5</v>
      </c>
      <c r="B80" s="4">
        <v>5</v>
      </c>
      <c r="C80" s="5"/>
    </row>
    <row r="81" spans="1:5" x14ac:dyDescent="0.35">
      <c r="A81" s="4">
        <v>1</v>
      </c>
      <c r="B81" s="4">
        <v>1</v>
      </c>
      <c r="C81" s="5"/>
    </row>
    <row r="82" spans="1:5" x14ac:dyDescent="0.35">
      <c r="A82" s="4">
        <v>3</v>
      </c>
      <c r="B82" s="4">
        <v>3</v>
      </c>
      <c r="C82" s="5"/>
    </row>
    <row r="83" spans="1:5" x14ac:dyDescent="0.35">
      <c r="A83" s="4">
        <v>8</v>
      </c>
      <c r="B83" s="4">
        <v>8</v>
      </c>
      <c r="C83" s="5"/>
    </row>
    <row r="84" spans="1:5" x14ac:dyDescent="0.35">
      <c r="A84" s="4">
        <v>4</v>
      </c>
      <c r="B84" s="4">
        <v>4</v>
      </c>
      <c r="C84" s="5"/>
    </row>
    <row r="85" spans="1:5" x14ac:dyDescent="0.35">
      <c r="A85" s="4">
        <v>1</v>
      </c>
      <c r="B85" s="4">
        <v>1</v>
      </c>
      <c r="C85" s="5"/>
    </row>
    <row r="86" spans="1:5" x14ac:dyDescent="0.35">
      <c r="A86" s="4">
        <v>2</v>
      </c>
      <c r="B86" s="4">
        <v>2</v>
      </c>
      <c r="C86" s="5"/>
    </row>
    <row r="87" spans="1:5" x14ac:dyDescent="0.35">
      <c r="A87" s="4">
        <v>7</v>
      </c>
      <c r="B87" s="4">
        <v>7</v>
      </c>
      <c r="C87" s="5"/>
    </row>
    <row r="88" spans="1:5" x14ac:dyDescent="0.35">
      <c r="A88" t="s">
        <v>36</v>
      </c>
      <c r="C88" s="5"/>
    </row>
    <row r="89" spans="1:5" x14ac:dyDescent="0.35">
      <c r="A89" t="s">
        <v>34</v>
      </c>
      <c r="C89" s="3" t="s">
        <v>35</v>
      </c>
      <c r="E89" t="s">
        <v>39</v>
      </c>
    </row>
    <row r="92" spans="1:5" x14ac:dyDescent="0.35">
      <c r="A92" t="s">
        <v>44</v>
      </c>
    </row>
    <row r="94" spans="1:5" x14ac:dyDescent="0.35">
      <c r="A94" t="s">
        <v>41</v>
      </c>
      <c r="C94" t="s">
        <v>23</v>
      </c>
      <c r="E94" t="s">
        <v>41</v>
      </c>
    </row>
    <row r="95" spans="1:5" x14ac:dyDescent="0.35">
      <c r="A95">
        <v>5</v>
      </c>
      <c r="C95" t="s">
        <v>43</v>
      </c>
      <c r="E95">
        <v>5</v>
      </c>
    </row>
    <row r="96" spans="1:5" x14ac:dyDescent="0.35">
      <c r="A96">
        <v>1</v>
      </c>
      <c r="C96" s="5"/>
      <c r="E96" s="3"/>
    </row>
    <row r="97" spans="1:5" x14ac:dyDescent="0.35">
      <c r="A97">
        <v>2</v>
      </c>
      <c r="C97" s="5"/>
      <c r="E97" s="3"/>
    </row>
    <row r="98" spans="1:5" x14ac:dyDescent="0.35">
      <c r="A98">
        <v>3</v>
      </c>
      <c r="C98" s="5"/>
      <c r="E98" s="3"/>
    </row>
    <row r="99" spans="1:5" x14ac:dyDescent="0.35">
      <c r="A99">
        <v>4</v>
      </c>
      <c r="C99" s="5"/>
      <c r="E99" s="3"/>
    </row>
    <row r="100" spans="1:5" x14ac:dyDescent="0.35">
      <c r="A100">
        <v>12</v>
      </c>
      <c r="C100" s="5"/>
      <c r="E100" s="3"/>
    </row>
    <row r="101" spans="1:5" x14ac:dyDescent="0.35">
      <c r="A101">
        <v>33</v>
      </c>
      <c r="C101" s="5"/>
      <c r="E101" s="3"/>
    </row>
    <row r="102" spans="1:5" x14ac:dyDescent="0.35">
      <c r="A102">
        <v>41</v>
      </c>
      <c r="C102" s="5"/>
      <c r="E102" s="3"/>
    </row>
    <row r="103" spans="1:5" x14ac:dyDescent="0.35">
      <c r="A103">
        <v>56</v>
      </c>
      <c r="C103" s="5"/>
      <c r="E103" s="3"/>
    </row>
    <row r="106" spans="1:5" x14ac:dyDescent="0.35">
      <c r="A106" t="s">
        <v>45</v>
      </c>
    </row>
    <row r="107" spans="1:5" x14ac:dyDescent="0.35">
      <c r="A107" t="s">
        <v>59</v>
      </c>
    </row>
    <row r="109" spans="1:5" x14ac:dyDescent="0.35">
      <c r="A109">
        <v>75</v>
      </c>
    </row>
    <row r="110" spans="1:5" x14ac:dyDescent="0.35">
      <c r="A110">
        <v>48</v>
      </c>
    </row>
    <row r="111" spans="1:5" x14ac:dyDescent="0.35">
      <c r="A111">
        <v>41</v>
      </c>
    </row>
    <row r="112" spans="1:5" x14ac:dyDescent="0.35">
      <c r="A112">
        <v>66</v>
      </c>
    </row>
    <row r="113" spans="1:10" x14ac:dyDescent="0.35">
      <c r="A113">
        <v>51</v>
      </c>
    </row>
    <row r="114" spans="1:10" x14ac:dyDescent="0.35">
      <c r="A114">
        <v>28</v>
      </c>
    </row>
    <row r="115" spans="1:10" x14ac:dyDescent="0.35">
      <c r="A115">
        <v>62</v>
      </c>
    </row>
    <row r="116" spans="1:10" x14ac:dyDescent="0.35">
      <c r="A116">
        <v>57</v>
      </c>
    </row>
    <row r="118" spans="1:10" x14ac:dyDescent="0.35">
      <c r="A118" t="s">
        <v>46</v>
      </c>
    </row>
    <row r="119" spans="1:10" x14ac:dyDescent="0.35">
      <c r="A119" s="3"/>
    </row>
    <row r="122" spans="1:10" x14ac:dyDescent="0.35">
      <c r="A122" t="s">
        <v>47</v>
      </c>
    </row>
    <row r="123" spans="1:10" x14ac:dyDescent="0.35">
      <c r="A123" t="s">
        <v>48</v>
      </c>
    </row>
    <row r="124" spans="1:10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7" spans="1:10" s="9" customFormat="1" ht="31" x14ac:dyDescent="0.7">
      <c r="A137" s="10" t="s">
        <v>49</v>
      </c>
    </row>
    <row r="139" spans="1:10" x14ac:dyDescent="0.35">
      <c r="A139" t="s">
        <v>50</v>
      </c>
    </row>
    <row r="140" spans="1:10" x14ac:dyDescent="0.35">
      <c r="A140" t="s">
        <v>51</v>
      </c>
    </row>
    <row r="141" spans="1:10" x14ac:dyDescent="0.35">
      <c r="A141">
        <v>1</v>
      </c>
      <c r="B141">
        <v>2</v>
      </c>
      <c r="C141">
        <v>3</v>
      </c>
      <c r="D141">
        <v>4</v>
      </c>
      <c r="E141">
        <v>5</v>
      </c>
      <c r="F141">
        <v>6</v>
      </c>
      <c r="G141">
        <v>7</v>
      </c>
      <c r="H141">
        <v>8</v>
      </c>
    </row>
    <row r="142" spans="1:10" x14ac:dyDescent="0.35">
      <c r="A142" s="4">
        <f>A141</f>
        <v>1</v>
      </c>
      <c r="B142" s="4">
        <f t="shared" ref="B142:D142" si="0">B141</f>
        <v>2</v>
      </c>
      <c r="C142" s="4">
        <f t="shared" si="0"/>
        <v>3</v>
      </c>
      <c r="D142" s="4">
        <f t="shared" si="0"/>
        <v>4</v>
      </c>
      <c r="E142" s="3"/>
      <c r="F142" s="3"/>
      <c r="G142" s="3"/>
      <c r="H142" s="3"/>
    </row>
    <row r="145" spans="1:8" x14ac:dyDescent="0.35">
      <c r="A145" t="s">
        <v>52</v>
      </c>
    </row>
    <row r="146" spans="1:8" x14ac:dyDescent="0.35">
      <c r="A146" t="s">
        <v>53</v>
      </c>
    </row>
    <row r="147" spans="1:8" x14ac:dyDescent="0.35">
      <c r="A147" t="s">
        <v>55</v>
      </c>
    </row>
    <row r="148" spans="1:8" x14ac:dyDescent="0.35">
      <c r="A148" t="s">
        <v>56</v>
      </c>
    </row>
    <row r="151" spans="1:8" ht="15" thickBot="1" x14ac:dyDescent="0.4">
      <c r="A151" s="18" t="s">
        <v>54</v>
      </c>
      <c r="B151">
        <v>1</v>
      </c>
      <c r="C151">
        <v>2</v>
      </c>
      <c r="D151">
        <v>3</v>
      </c>
      <c r="E151">
        <v>4</v>
      </c>
      <c r="F151">
        <v>5</v>
      </c>
      <c r="G151">
        <v>6</v>
      </c>
      <c r="H151">
        <v>7</v>
      </c>
    </row>
    <row r="152" spans="1:8" ht="15" thickBot="1" x14ac:dyDescent="0.4">
      <c r="A152" s="17">
        <v>5</v>
      </c>
      <c r="B152" s="5">
        <f>B151*A152</f>
        <v>5</v>
      </c>
    </row>
    <row r="155" spans="1:8" x14ac:dyDescent="0.35">
      <c r="A155" t="s">
        <v>58</v>
      </c>
    </row>
    <row r="157" spans="1:8" ht="15" thickBot="1" x14ac:dyDescent="0.4">
      <c r="A157" s="18" t="s">
        <v>57</v>
      </c>
      <c r="B157">
        <v>1</v>
      </c>
      <c r="C157">
        <v>2</v>
      </c>
      <c r="D157">
        <v>3</v>
      </c>
      <c r="E157">
        <v>4</v>
      </c>
      <c r="F157">
        <v>5</v>
      </c>
      <c r="G157">
        <v>6</v>
      </c>
      <c r="H157">
        <v>7</v>
      </c>
    </row>
    <row r="158" spans="1:8" ht="15" thickBot="1" x14ac:dyDescent="0.4">
      <c r="A158" s="19">
        <v>5</v>
      </c>
      <c r="B158" s="5">
        <f>B$157*$A158</f>
        <v>5</v>
      </c>
      <c r="C158" s="3"/>
      <c r="D158" s="3"/>
      <c r="E158" s="3"/>
      <c r="F158" s="3"/>
      <c r="G158" s="3"/>
      <c r="H158" s="3"/>
    </row>
    <row r="159" spans="1:8" ht="15" thickBot="1" x14ac:dyDescent="0.4">
      <c r="A159" s="19">
        <v>4</v>
      </c>
      <c r="B159" s="3"/>
      <c r="C159" s="3"/>
      <c r="D159" s="3"/>
      <c r="E159" s="3"/>
      <c r="F159" s="3"/>
      <c r="G159" s="3"/>
      <c r="H159" s="3"/>
    </row>
    <row r="160" spans="1:8" ht="15" thickBot="1" x14ac:dyDescent="0.4">
      <c r="A160" s="19">
        <v>7</v>
      </c>
      <c r="B160" s="3"/>
      <c r="C160" s="3"/>
      <c r="D160" s="3"/>
      <c r="E160" s="3"/>
      <c r="F160" s="3"/>
      <c r="G160" s="3"/>
      <c r="H160" s="3"/>
    </row>
    <row r="161" spans="1:8" ht="15" thickBot="1" x14ac:dyDescent="0.4">
      <c r="A161" s="19">
        <v>1</v>
      </c>
      <c r="B161" s="3"/>
      <c r="C161" s="3"/>
      <c r="D161" s="3"/>
      <c r="E161" s="3"/>
      <c r="F161" s="3"/>
      <c r="G161" s="3"/>
      <c r="H161" s="3"/>
    </row>
    <row r="162" spans="1:8" ht="15" thickBot="1" x14ac:dyDescent="0.4">
      <c r="A162" s="19">
        <v>8</v>
      </c>
      <c r="B162" s="3"/>
      <c r="C162" s="3"/>
      <c r="D162" s="3"/>
      <c r="E162" s="3"/>
      <c r="F162" s="3"/>
      <c r="G162" s="3"/>
      <c r="H162" s="3"/>
    </row>
  </sheetData>
  <conditionalFormatting sqref="A119">
    <cfRule type="cellIs" dxfId="6" priority="1" operator="equal">
      <formula>255</formula>
    </cfRule>
  </conditionalFormatting>
  <conditionalFormatting sqref="C61">
    <cfRule type="cellIs" dxfId="5" priority="3" operator="equal">
      <formula>5342</formula>
    </cfRule>
  </conditionalFormatting>
  <conditionalFormatting sqref="D51">
    <cfRule type="cellIs" dxfId="4" priority="5" operator="equal">
      <formula>82</formula>
    </cfRule>
  </conditionalFormatting>
  <conditionalFormatting sqref="D56">
    <cfRule type="cellIs" dxfId="3" priority="4" operator="equal">
      <formula>2</formula>
    </cfRule>
  </conditionalFormatting>
  <conditionalFormatting sqref="K67">
    <cfRule type="cellIs" dxfId="2" priority="2" operator="equal">
      <formula>169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886E-6230-44AA-AB02-85890F3B0BBF}">
  <dimension ref="A2:T16"/>
  <sheetViews>
    <sheetView zoomScale="127" zoomScaleNormal="100" workbookViewId="0">
      <selection activeCell="Q13" sqref="Q13"/>
    </sheetView>
  </sheetViews>
  <sheetFormatPr baseColWidth="10" defaultColWidth="8.7265625" defaultRowHeight="14.5" x14ac:dyDescent="0.35"/>
  <cols>
    <col min="1" max="1" width="16.6328125" customWidth="1"/>
    <col min="2" max="2" width="10.453125" bestFit="1" customWidth="1"/>
    <col min="3" max="3" width="1.7265625" customWidth="1"/>
    <col min="4" max="4" width="5.08984375" customWidth="1"/>
    <col min="5" max="5" width="1.81640625" customWidth="1"/>
    <col min="6" max="6" width="5.54296875" customWidth="1"/>
    <col min="7" max="7" width="1.453125" customWidth="1"/>
    <col min="8" max="8" width="5.90625" customWidth="1"/>
    <col min="11" max="11" width="10.453125" bestFit="1" customWidth="1"/>
    <col min="12" max="12" width="1.453125" customWidth="1"/>
    <col min="13" max="13" width="10.453125" bestFit="1" customWidth="1"/>
    <col min="14" max="14" width="1.453125" customWidth="1"/>
    <col min="15" max="15" width="10.453125" bestFit="1" customWidth="1"/>
    <col min="16" max="16" width="1.453125" customWidth="1"/>
    <col min="17" max="17" width="10.453125" bestFit="1" customWidth="1"/>
    <col min="20" max="20" width="7.1796875" customWidth="1"/>
    <col min="21" max="21" width="10.6328125" customWidth="1"/>
    <col min="22" max="22" width="10.26953125" customWidth="1"/>
  </cols>
  <sheetData>
    <row r="2" spans="1:20" ht="15" x14ac:dyDescent="0.4">
      <c r="S2" s="14" t="s">
        <v>41</v>
      </c>
      <c r="T2" s="11" t="s">
        <v>23</v>
      </c>
    </row>
    <row r="3" spans="1:20" s="11" customFormat="1" ht="15" x14ac:dyDescent="0.4">
      <c r="S3" s="16">
        <v>255</v>
      </c>
      <c r="T3" s="11" t="str">
        <f>DEC2BIN(S3,8)</f>
        <v>11111111</v>
      </c>
    </row>
    <row r="4" spans="1:20" s="11" customFormat="1" ht="15" x14ac:dyDescent="0.4">
      <c r="S4" s="11">
        <v>254</v>
      </c>
      <c r="T4" s="11" t="str">
        <f t="shared" ref="T4:T11" si="0">DEC2BIN(S4,8)</f>
        <v>11111110</v>
      </c>
    </row>
    <row r="5" spans="1:20" s="11" customFormat="1" ht="15" x14ac:dyDescent="0.4">
      <c r="A5" s="12" t="s">
        <v>40</v>
      </c>
      <c r="B5" s="12">
        <v>192</v>
      </c>
      <c r="C5" s="12" t="s">
        <v>24</v>
      </c>
      <c r="D5" s="12">
        <v>168</v>
      </c>
      <c r="E5" s="12" t="s">
        <v>24</v>
      </c>
      <c r="F5" s="12">
        <v>2</v>
      </c>
      <c r="G5" s="12" t="s">
        <v>24</v>
      </c>
      <c r="H5" s="12">
        <v>13</v>
      </c>
      <c r="I5" s="12"/>
      <c r="J5" s="12" t="s">
        <v>23</v>
      </c>
      <c r="K5" s="12" t="str">
        <f t="shared" ref="K5:K10" si="1">DEC2BIN(B5,8)</f>
        <v>11000000</v>
      </c>
      <c r="L5" s="12" t="s">
        <v>24</v>
      </c>
      <c r="M5" s="12" t="str">
        <f t="shared" ref="M5:M10" si="2">DEC2BIN(D5,8)</f>
        <v>10101000</v>
      </c>
      <c r="N5" s="12" t="s">
        <v>24</v>
      </c>
      <c r="O5" s="12" t="str">
        <f t="shared" ref="O5:O10" si="3">DEC2BIN(F5,8)</f>
        <v>00000010</v>
      </c>
      <c r="P5" s="12" t="s">
        <v>24</v>
      </c>
      <c r="Q5" s="12" t="str">
        <f t="shared" ref="Q5:Q10" si="4">DEC2BIN(H5,8)</f>
        <v>00001101</v>
      </c>
      <c r="S5" s="16">
        <v>252</v>
      </c>
      <c r="T5" s="11" t="str">
        <f t="shared" si="0"/>
        <v>11111100</v>
      </c>
    </row>
    <row r="6" spans="1:20" s="11" customFormat="1" ht="15" x14ac:dyDescent="0.4">
      <c r="A6" s="12" t="s">
        <v>40</v>
      </c>
      <c r="B6" s="12">
        <v>192</v>
      </c>
      <c r="C6" s="12" t="s">
        <v>24</v>
      </c>
      <c r="D6" s="12">
        <v>168</v>
      </c>
      <c r="E6" s="12" t="s">
        <v>24</v>
      </c>
      <c r="F6" s="12">
        <v>2</v>
      </c>
      <c r="G6" s="12" t="s">
        <v>24</v>
      </c>
      <c r="H6" s="12">
        <v>41</v>
      </c>
      <c r="I6" s="12"/>
      <c r="J6" s="12" t="s">
        <v>23</v>
      </c>
      <c r="K6" s="12" t="str">
        <f t="shared" si="1"/>
        <v>11000000</v>
      </c>
      <c r="L6" s="12" t="s">
        <v>24</v>
      </c>
      <c r="M6" s="12" t="str">
        <f t="shared" si="2"/>
        <v>10101000</v>
      </c>
      <c r="N6" s="12" t="s">
        <v>24</v>
      </c>
      <c r="O6" s="12" t="str">
        <f t="shared" si="3"/>
        <v>00000010</v>
      </c>
      <c r="P6" s="12" t="s">
        <v>24</v>
      </c>
      <c r="Q6" s="12" t="str">
        <f t="shared" si="4"/>
        <v>00101001</v>
      </c>
      <c r="S6" s="11">
        <v>248</v>
      </c>
      <c r="T6" s="11" t="str">
        <f t="shared" si="0"/>
        <v>11111000</v>
      </c>
    </row>
    <row r="7" spans="1:20" s="11" customFormat="1" ht="15" x14ac:dyDescent="0.4">
      <c r="A7" s="12" t="s">
        <v>40</v>
      </c>
      <c r="B7" s="12">
        <v>192</v>
      </c>
      <c r="C7" s="12" t="s">
        <v>24</v>
      </c>
      <c r="D7" s="12">
        <v>168</v>
      </c>
      <c r="E7" s="12" t="s">
        <v>24</v>
      </c>
      <c r="F7" s="12">
        <v>2</v>
      </c>
      <c r="G7" s="12" t="s">
        <v>24</v>
      </c>
      <c r="H7" s="12">
        <v>51</v>
      </c>
      <c r="I7" s="12"/>
      <c r="J7" s="12" t="s">
        <v>23</v>
      </c>
      <c r="K7" s="12" t="str">
        <f t="shared" si="1"/>
        <v>11000000</v>
      </c>
      <c r="L7" s="12" t="s">
        <v>24</v>
      </c>
      <c r="M7" s="12" t="str">
        <f t="shared" si="2"/>
        <v>10101000</v>
      </c>
      <c r="N7" s="12" t="s">
        <v>24</v>
      </c>
      <c r="O7" s="12" t="str">
        <f t="shared" si="3"/>
        <v>00000010</v>
      </c>
      <c r="P7" s="12" t="s">
        <v>24</v>
      </c>
      <c r="Q7" s="12" t="str">
        <f t="shared" si="4"/>
        <v>00110011</v>
      </c>
      <c r="S7" s="11">
        <v>240</v>
      </c>
      <c r="T7" s="11" t="str">
        <f t="shared" si="0"/>
        <v>11110000</v>
      </c>
    </row>
    <row r="8" spans="1:20" s="11" customFormat="1" ht="15" x14ac:dyDescent="0.4">
      <c r="A8" s="12" t="s">
        <v>40</v>
      </c>
      <c r="B8" s="12">
        <v>192</v>
      </c>
      <c r="C8" s="12" t="s">
        <v>24</v>
      </c>
      <c r="D8" s="12">
        <v>168</v>
      </c>
      <c r="E8" s="12" t="s">
        <v>24</v>
      </c>
      <c r="F8" s="12">
        <v>2</v>
      </c>
      <c r="G8" s="12" t="s">
        <v>24</v>
      </c>
      <c r="H8" s="12">
        <v>23</v>
      </c>
      <c r="I8" s="12"/>
      <c r="J8" s="12" t="s">
        <v>23</v>
      </c>
      <c r="K8" s="12" t="str">
        <f t="shared" si="1"/>
        <v>11000000</v>
      </c>
      <c r="L8" s="12" t="s">
        <v>24</v>
      </c>
      <c r="M8" s="12" t="str">
        <f t="shared" si="2"/>
        <v>10101000</v>
      </c>
      <c r="N8" s="12" t="s">
        <v>24</v>
      </c>
      <c r="O8" s="12" t="str">
        <f t="shared" si="3"/>
        <v>00000010</v>
      </c>
      <c r="P8" s="12" t="s">
        <v>24</v>
      </c>
      <c r="Q8" s="12" t="str">
        <f t="shared" si="4"/>
        <v>00010111</v>
      </c>
      <c r="S8" s="11">
        <v>224</v>
      </c>
      <c r="T8" s="11" t="str">
        <f t="shared" si="0"/>
        <v>11100000</v>
      </c>
    </row>
    <row r="9" spans="1:20" s="11" customFormat="1" ht="15" x14ac:dyDescent="0.4">
      <c r="A9" s="12" t="s">
        <v>40</v>
      </c>
      <c r="B9" s="12">
        <v>192</v>
      </c>
      <c r="C9" s="12" t="s">
        <v>24</v>
      </c>
      <c r="D9" s="12">
        <v>168</v>
      </c>
      <c r="E9" s="12" t="s">
        <v>24</v>
      </c>
      <c r="F9" s="12">
        <v>2</v>
      </c>
      <c r="G9" s="12" t="s">
        <v>24</v>
      </c>
      <c r="H9" s="12">
        <v>23</v>
      </c>
      <c r="I9" s="12"/>
      <c r="J9" s="12" t="s">
        <v>23</v>
      </c>
      <c r="K9" s="12" t="str">
        <f t="shared" si="1"/>
        <v>11000000</v>
      </c>
      <c r="L9" s="12" t="s">
        <v>24</v>
      </c>
      <c r="M9" s="12" t="str">
        <f t="shared" si="2"/>
        <v>10101000</v>
      </c>
      <c r="N9" s="12" t="s">
        <v>24</v>
      </c>
      <c r="O9" s="12" t="str">
        <f t="shared" si="3"/>
        <v>00000010</v>
      </c>
      <c r="P9" s="12" t="s">
        <v>24</v>
      </c>
      <c r="Q9" s="12" t="str">
        <f t="shared" si="4"/>
        <v>00010111</v>
      </c>
      <c r="S9" s="11">
        <v>192</v>
      </c>
      <c r="T9" s="11" t="str">
        <f t="shared" si="0"/>
        <v>11000000</v>
      </c>
    </row>
    <row r="10" spans="1:20" ht="15" x14ac:dyDescent="0.4">
      <c r="A10" s="12" t="s">
        <v>40</v>
      </c>
      <c r="B10" s="12">
        <v>192</v>
      </c>
      <c r="C10" s="12" t="s">
        <v>24</v>
      </c>
      <c r="D10" s="12">
        <v>168</v>
      </c>
      <c r="E10" s="12" t="s">
        <v>24</v>
      </c>
      <c r="F10" s="12">
        <v>2</v>
      </c>
      <c r="G10" s="12" t="s">
        <v>24</v>
      </c>
      <c r="H10" s="12">
        <v>233</v>
      </c>
      <c r="I10" s="12"/>
      <c r="J10" s="12" t="s">
        <v>23</v>
      </c>
      <c r="K10" s="12" t="str">
        <f t="shared" si="1"/>
        <v>11000000</v>
      </c>
      <c r="L10" s="12" t="s">
        <v>24</v>
      </c>
      <c r="M10" s="12" t="str">
        <f t="shared" si="2"/>
        <v>10101000</v>
      </c>
      <c r="N10" s="12" t="s">
        <v>24</v>
      </c>
      <c r="O10" s="12" t="str">
        <f t="shared" si="3"/>
        <v>00000010</v>
      </c>
      <c r="P10" s="12" t="s">
        <v>24</v>
      </c>
      <c r="Q10" s="12" t="str">
        <f t="shared" si="4"/>
        <v>11101001</v>
      </c>
      <c r="S10" s="11">
        <v>128</v>
      </c>
      <c r="T10" s="11" t="str">
        <f t="shared" si="0"/>
        <v>10000000</v>
      </c>
    </row>
    <row r="11" spans="1:20" ht="15" x14ac:dyDescent="0.4">
      <c r="A11" s="12" t="s">
        <v>40</v>
      </c>
      <c r="B11" s="12">
        <v>192</v>
      </c>
      <c r="C11" s="12" t="s">
        <v>24</v>
      </c>
      <c r="D11" s="12">
        <v>168</v>
      </c>
      <c r="E11" s="12" t="s">
        <v>24</v>
      </c>
      <c r="F11" s="12">
        <v>2</v>
      </c>
      <c r="G11" s="12" t="s">
        <v>24</v>
      </c>
      <c r="H11" s="12">
        <v>6</v>
      </c>
      <c r="I11" s="12"/>
      <c r="J11" s="12" t="s">
        <v>23</v>
      </c>
      <c r="K11" s="12" t="str">
        <f>DEC2BIN(B11,8)</f>
        <v>11000000</v>
      </c>
      <c r="L11" s="12" t="s">
        <v>24</v>
      </c>
      <c r="M11" s="12" t="str">
        <f>DEC2BIN(D11,8)</f>
        <v>10101000</v>
      </c>
      <c r="N11" s="12" t="s">
        <v>24</v>
      </c>
      <c r="O11" s="12" t="str">
        <f>DEC2BIN(F11,8)</f>
        <v>00000010</v>
      </c>
      <c r="P11" s="12" t="s">
        <v>24</v>
      </c>
      <c r="Q11" s="12" t="str">
        <f>DEC2BIN(H11,8)</f>
        <v>00000110</v>
      </c>
      <c r="S11" s="11">
        <v>0</v>
      </c>
      <c r="T11" s="11" t="str">
        <f t="shared" si="0"/>
        <v>00000000</v>
      </c>
    </row>
    <row r="12" spans="1:20" ht="15" x14ac:dyDescent="0.4">
      <c r="A12" s="13" t="s">
        <v>22</v>
      </c>
      <c r="B12" s="13">
        <v>255</v>
      </c>
      <c r="C12" s="13" t="s">
        <v>24</v>
      </c>
      <c r="D12" s="13">
        <v>255</v>
      </c>
      <c r="E12" s="13" t="s">
        <v>24</v>
      </c>
      <c r="F12" s="13">
        <v>255</v>
      </c>
      <c r="G12" s="13" t="s">
        <v>24</v>
      </c>
      <c r="H12" s="13">
        <v>0</v>
      </c>
      <c r="I12" s="13"/>
      <c r="J12" s="13" t="s">
        <v>23</v>
      </c>
      <c r="K12" s="13" t="str">
        <f>DEC2BIN(B12,8)</f>
        <v>11111111</v>
      </c>
      <c r="L12" s="13" t="s">
        <v>24</v>
      </c>
      <c r="M12" s="13" t="str">
        <f>DEC2BIN(D12,8)</f>
        <v>11111111</v>
      </c>
      <c r="N12" s="13" t="s">
        <v>24</v>
      </c>
      <c r="O12" s="13" t="str">
        <f>DEC2BIN(F12,8)</f>
        <v>11111111</v>
      </c>
      <c r="P12" s="13" t="s">
        <v>24</v>
      </c>
      <c r="Q12" s="13" t="str">
        <f>DEC2BIN(H12,8)</f>
        <v>00000000</v>
      </c>
    </row>
    <row r="13" spans="1:20" ht="15" x14ac:dyDescent="0.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/>
    </row>
    <row r="14" spans="1:20" ht="15" x14ac:dyDescent="0.4">
      <c r="A14" s="15" t="s">
        <v>42</v>
      </c>
      <c r="B14" s="15">
        <f>_xlfn.BITAND(B11,B12)</f>
        <v>192</v>
      </c>
      <c r="C14" s="15" t="s">
        <v>24</v>
      </c>
      <c r="D14" s="15">
        <f t="shared" ref="D14:H14" si="5">_xlfn.BITAND(D11,D12)</f>
        <v>168</v>
      </c>
      <c r="E14" s="15" t="s">
        <v>24</v>
      </c>
      <c r="F14" s="15">
        <f t="shared" si="5"/>
        <v>2</v>
      </c>
      <c r="G14" s="15" t="s">
        <v>24</v>
      </c>
      <c r="H14" s="15">
        <f t="shared" si="5"/>
        <v>0</v>
      </c>
      <c r="I14" s="15"/>
      <c r="J14" s="15" t="s">
        <v>23</v>
      </c>
      <c r="K14" s="15" t="str">
        <f>DEC2BIN(B14,8)</f>
        <v>11000000</v>
      </c>
      <c r="L14" s="15" t="s">
        <v>24</v>
      </c>
      <c r="M14" s="15" t="str">
        <f t="shared" ref="M14:Q14" si="6">DEC2BIN(D14,8)</f>
        <v>10101000</v>
      </c>
      <c r="N14" s="15" t="s">
        <v>24</v>
      </c>
      <c r="O14" s="15" t="str">
        <f t="shared" si="6"/>
        <v>00000010</v>
      </c>
      <c r="P14" s="15" t="s">
        <v>24</v>
      </c>
      <c r="Q14" s="15" t="str">
        <f t="shared" si="6"/>
        <v>00000000</v>
      </c>
    </row>
    <row r="15" spans="1:20" ht="15" x14ac:dyDescent="0.4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20" ht="15" x14ac:dyDescent="0.4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21F9-D241-4071-831B-604643AF0551}">
  <dimension ref="A1:AD30"/>
  <sheetViews>
    <sheetView tabSelected="1" zoomScale="77" zoomScaleNormal="130" workbookViewId="0">
      <selection activeCell="T11" sqref="T11"/>
    </sheetView>
  </sheetViews>
  <sheetFormatPr baseColWidth="10" defaultColWidth="8.7265625" defaultRowHeight="14.5" x14ac:dyDescent="0.35"/>
  <cols>
    <col min="1" max="1" width="28.1796875" customWidth="1"/>
    <col min="3" max="3" width="0.81640625" customWidth="1"/>
    <col min="4" max="4" width="8.90625" customWidth="1"/>
    <col min="5" max="5" width="1.08984375" customWidth="1"/>
    <col min="7" max="7" width="1.26953125" customWidth="1"/>
    <col min="9" max="9" width="3.36328125" customWidth="1"/>
    <col min="11" max="11" width="1.36328125" bestFit="1" customWidth="1"/>
    <col min="13" max="13" width="1.36328125" bestFit="1" customWidth="1"/>
    <col min="15" max="15" width="1.36328125" bestFit="1" customWidth="1"/>
    <col min="19" max="19" width="8.7265625" customWidth="1"/>
    <col min="26" max="29" width="12.54296875" bestFit="1" customWidth="1"/>
  </cols>
  <sheetData>
    <row r="1" spans="1:30" ht="31" x14ac:dyDescent="0.7">
      <c r="A1" s="2" t="s">
        <v>61</v>
      </c>
    </row>
    <row r="3" spans="1:30" ht="18.5" x14ac:dyDescent="0.45">
      <c r="A3" s="1" t="s">
        <v>62</v>
      </c>
      <c r="D3" s="21"/>
      <c r="E3" s="21"/>
      <c r="F3" s="21"/>
      <c r="G3" s="21"/>
      <c r="H3" s="21"/>
      <c r="I3" s="20"/>
      <c r="J3" s="21"/>
      <c r="K3" s="21"/>
      <c r="R3" s="20"/>
      <c r="S3" s="20"/>
      <c r="T3" s="20"/>
    </row>
    <row r="4" spans="1:30" x14ac:dyDescent="0.35">
      <c r="B4" s="21"/>
      <c r="C4" s="21"/>
      <c r="D4" s="21"/>
    </row>
    <row r="5" spans="1:30" ht="18.5" x14ac:dyDescent="0.45">
      <c r="A5" s="1"/>
      <c r="I5" s="23"/>
      <c r="N5" s="23"/>
      <c r="O5" s="23"/>
      <c r="P5" s="23"/>
      <c r="Q5" s="23"/>
      <c r="R5" s="23"/>
    </row>
    <row r="6" spans="1:30" ht="19" thickBot="1" x14ac:dyDescent="0.5">
      <c r="A6" s="1"/>
    </row>
    <row r="7" spans="1:30" x14ac:dyDescent="0.35">
      <c r="B7" s="44" t="s">
        <v>64</v>
      </c>
      <c r="C7" s="45"/>
      <c r="D7" s="45"/>
      <c r="E7" s="45"/>
      <c r="F7" s="45"/>
      <c r="G7" s="45"/>
      <c r="H7" s="46"/>
      <c r="I7" s="47"/>
      <c r="J7" s="44" t="s">
        <v>65</v>
      </c>
      <c r="K7" s="45"/>
      <c r="L7" s="45"/>
      <c r="M7" s="45"/>
      <c r="N7" s="45"/>
      <c r="O7" s="45"/>
      <c r="P7" s="46"/>
      <c r="Q7" s="47"/>
      <c r="R7" s="44" t="s">
        <v>71</v>
      </c>
      <c r="S7" s="45"/>
      <c r="T7" s="45"/>
      <c r="U7" s="46"/>
      <c r="V7" s="47"/>
      <c r="W7" s="48" t="s">
        <v>66</v>
      </c>
      <c r="Z7" t="s">
        <v>73</v>
      </c>
      <c r="AA7" t="s">
        <v>74</v>
      </c>
      <c r="AB7" t="s">
        <v>75</v>
      </c>
      <c r="AC7" t="s">
        <v>76</v>
      </c>
      <c r="AD7" t="s">
        <v>78</v>
      </c>
    </row>
    <row r="8" spans="1:30" x14ac:dyDescent="0.35">
      <c r="A8" s="49" t="s">
        <v>63</v>
      </c>
      <c r="B8" s="32">
        <v>192</v>
      </c>
      <c r="C8" s="33" t="s">
        <v>24</v>
      </c>
      <c r="D8" s="33">
        <v>168</v>
      </c>
      <c r="E8" s="33" t="s">
        <v>24</v>
      </c>
      <c r="F8" s="33">
        <v>1</v>
      </c>
      <c r="G8" s="33" t="s">
        <v>24</v>
      </c>
      <c r="H8" s="34">
        <v>1</v>
      </c>
      <c r="I8" s="31"/>
      <c r="J8" s="32">
        <v>255</v>
      </c>
      <c r="K8" s="33" t="s">
        <v>24</v>
      </c>
      <c r="L8" s="33">
        <v>255</v>
      </c>
      <c r="M8" s="33" t="s">
        <v>24</v>
      </c>
      <c r="N8" s="33">
        <v>255</v>
      </c>
      <c r="O8" s="33" t="s">
        <v>24</v>
      </c>
      <c r="P8" s="34">
        <v>0</v>
      </c>
      <c r="Q8" s="31"/>
      <c r="R8" s="32">
        <f>_xlfn.BITAND(B8,J8)</f>
        <v>192</v>
      </c>
      <c r="S8" s="33">
        <f>_xlfn.BITAND(D8,L8)</f>
        <v>168</v>
      </c>
      <c r="T8" s="33">
        <f>_xlfn.BITAND(F8,N8)</f>
        <v>1</v>
      </c>
      <c r="U8" s="34">
        <f>_xlfn.BITAND(H8,P8)</f>
        <v>0</v>
      </c>
      <c r="W8" s="42" t="str">
        <f>IF(AD8=4,"Ja","Nein")</f>
        <v>Nein</v>
      </c>
      <c r="Z8">
        <f>IF(R8=R29,1,0)</f>
        <v>1</v>
      </c>
      <c r="AA8">
        <f t="shared" ref="AA8:AC8" si="0">IF(S8=S29,1,0)</f>
        <v>1</v>
      </c>
      <c r="AB8">
        <f t="shared" si="0"/>
        <v>0</v>
      </c>
      <c r="AC8">
        <f t="shared" si="0"/>
        <v>1</v>
      </c>
      <c r="AD8">
        <f>SUM(Z8:AC8)</f>
        <v>3</v>
      </c>
    </row>
    <row r="9" spans="1:30" x14ac:dyDescent="0.35">
      <c r="A9" s="50" t="s">
        <v>67</v>
      </c>
      <c r="B9" s="36">
        <v>192</v>
      </c>
      <c r="C9" s="37" t="s">
        <v>24</v>
      </c>
      <c r="D9" s="37">
        <v>168</v>
      </c>
      <c r="E9" s="37" t="s">
        <v>24</v>
      </c>
      <c r="F9" s="37">
        <v>2</v>
      </c>
      <c r="G9" s="37" t="s">
        <v>24</v>
      </c>
      <c r="H9" s="38">
        <v>1</v>
      </c>
      <c r="I9" s="35"/>
      <c r="J9" s="36">
        <v>255</v>
      </c>
      <c r="K9" s="37" t="s">
        <v>24</v>
      </c>
      <c r="L9" s="37">
        <v>255</v>
      </c>
      <c r="M9" s="37" t="s">
        <v>24</v>
      </c>
      <c r="N9" s="37">
        <v>255</v>
      </c>
      <c r="O9" s="37" t="s">
        <v>24</v>
      </c>
      <c r="P9" s="38">
        <v>0</v>
      </c>
      <c r="Q9" s="35"/>
      <c r="R9" s="36">
        <f>_xlfn.BITAND(B9,J9)</f>
        <v>192</v>
      </c>
      <c r="S9" s="37">
        <f>_xlfn.BITAND(D9,L9)</f>
        <v>168</v>
      </c>
      <c r="T9" s="37">
        <f>_xlfn.BITAND(F9,N9)</f>
        <v>2</v>
      </c>
      <c r="U9" s="38">
        <f>_xlfn.BITAND(H9,P9)</f>
        <v>0</v>
      </c>
      <c r="W9" s="42" t="str">
        <f>IF(AD9=4,"Ja","Nein")</f>
        <v>Ja</v>
      </c>
      <c r="Z9">
        <f>IF(R9=R30,1,0)</f>
        <v>1</v>
      </c>
      <c r="AA9">
        <f t="shared" ref="AA9:AC9" si="1">IF(S9=S30,1,0)</f>
        <v>1</v>
      </c>
      <c r="AB9">
        <f t="shared" si="1"/>
        <v>1</v>
      </c>
      <c r="AC9">
        <f t="shared" si="1"/>
        <v>1</v>
      </c>
      <c r="AD9">
        <f>SUM(Z9:AC9)</f>
        <v>4</v>
      </c>
    </row>
    <row r="10" spans="1:30" x14ac:dyDescent="0.35">
      <c r="A10" s="51" t="s">
        <v>68</v>
      </c>
      <c r="B10" s="39" t="s">
        <v>69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1"/>
      <c r="W10" s="42" t="str">
        <f>IF(COUNTIF(AD8:AD9,"=4")=0,"Ja", "Nein")</f>
        <v>Nein</v>
      </c>
    </row>
    <row r="11" spans="1:30" x14ac:dyDescent="0.35">
      <c r="B11" s="25"/>
      <c r="C11" s="26"/>
      <c r="D11" s="26"/>
      <c r="E11" s="26"/>
      <c r="F11" s="26"/>
      <c r="G11" s="26"/>
      <c r="H11" s="27"/>
      <c r="J11" s="25"/>
      <c r="K11" s="26"/>
      <c r="L11" s="26"/>
      <c r="M11" s="26"/>
      <c r="N11" s="26"/>
      <c r="O11" s="26"/>
      <c r="P11" s="27"/>
      <c r="R11" s="25"/>
      <c r="S11" s="26"/>
      <c r="T11" s="26"/>
      <c r="U11" s="27"/>
      <c r="W11" s="42"/>
    </row>
    <row r="12" spans="1:30" ht="15" thickBot="1" x14ac:dyDescent="0.4">
      <c r="B12" s="28"/>
      <c r="C12" s="29"/>
      <c r="D12" s="29"/>
      <c r="E12" s="29"/>
      <c r="F12" s="29"/>
      <c r="G12" s="29"/>
      <c r="H12" s="30"/>
      <c r="J12" s="28"/>
      <c r="K12" s="29"/>
      <c r="L12" s="29"/>
      <c r="M12" s="29"/>
      <c r="N12" s="29"/>
      <c r="O12" s="29"/>
      <c r="P12" s="30"/>
      <c r="R12" s="28"/>
      <c r="S12" s="29"/>
      <c r="T12" s="29"/>
      <c r="U12" s="30"/>
      <c r="W12" s="43"/>
    </row>
    <row r="13" spans="1:30" x14ac:dyDescent="0.3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1:30" ht="14.5" customHeight="1" x14ac:dyDescent="0.35">
      <c r="A14" s="21"/>
      <c r="B14" s="24"/>
      <c r="C14" s="24"/>
      <c r="D14" s="24"/>
      <c r="E14" s="24"/>
      <c r="F14" s="2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30" ht="14.5" customHeight="1" x14ac:dyDescent="0.35">
      <c r="A15" s="21"/>
      <c r="B15" s="24"/>
      <c r="C15" s="24"/>
      <c r="D15" s="24"/>
      <c r="E15" s="24"/>
      <c r="F15" s="2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30" ht="14.5" customHeight="1" x14ac:dyDescent="0.35"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21" x14ac:dyDescent="0.35"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21" x14ac:dyDescent="0.35">
      <c r="J18" s="21"/>
    </row>
    <row r="25" spans="1:21" ht="17" customHeight="1" x14ac:dyDescent="0.35"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21" x14ac:dyDescent="0.35"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21" ht="19" thickBot="1" x14ac:dyDescent="0.5">
      <c r="A27" s="22" t="s">
        <v>70</v>
      </c>
    </row>
    <row r="28" spans="1:21" x14ac:dyDescent="0.35">
      <c r="J28" s="44" t="s">
        <v>77</v>
      </c>
      <c r="K28" s="45"/>
      <c r="L28" s="45"/>
      <c r="M28" s="45"/>
      <c r="N28" s="45"/>
      <c r="O28" s="45"/>
      <c r="P28" s="46"/>
      <c r="R28" s="44" t="s">
        <v>72</v>
      </c>
      <c r="S28" s="45"/>
      <c r="T28" s="45"/>
      <c r="U28" s="46"/>
    </row>
    <row r="29" spans="1:21" x14ac:dyDescent="0.35">
      <c r="A29" s="21" t="s">
        <v>60</v>
      </c>
      <c r="B29">
        <v>192</v>
      </c>
      <c r="C29" t="s">
        <v>24</v>
      </c>
      <c r="D29">
        <v>168</v>
      </c>
      <c r="E29" t="s">
        <v>24</v>
      </c>
      <c r="F29">
        <v>2</v>
      </c>
      <c r="G29" t="s">
        <v>24</v>
      </c>
      <c r="H29">
        <v>12</v>
      </c>
      <c r="J29">
        <f>J8</f>
        <v>255</v>
      </c>
      <c r="K29" t="str">
        <f t="shared" ref="K29:P30" si="2">K8</f>
        <v>.</v>
      </c>
      <c r="L29">
        <f t="shared" si="2"/>
        <v>255</v>
      </c>
      <c r="M29" t="str">
        <f t="shared" si="2"/>
        <v>.</v>
      </c>
      <c r="N29">
        <f t="shared" si="2"/>
        <v>255</v>
      </c>
      <c r="O29" t="str">
        <f t="shared" si="2"/>
        <v>.</v>
      </c>
      <c r="P29">
        <f t="shared" si="2"/>
        <v>0</v>
      </c>
      <c r="R29">
        <f>_xlfn.BITAND(B29,J29)</f>
        <v>192</v>
      </c>
      <c r="S29">
        <f>_xlfn.BITAND(D29,L29)</f>
        <v>168</v>
      </c>
      <c r="T29">
        <f>_xlfn.BITAND(F29,N29)</f>
        <v>2</v>
      </c>
      <c r="U29">
        <f>_xlfn.BITAND(H29,P29)</f>
        <v>0</v>
      </c>
    </row>
    <row r="30" spans="1:21" x14ac:dyDescent="0.35">
      <c r="A30" s="21"/>
      <c r="B30">
        <f>B29</f>
        <v>192</v>
      </c>
      <c r="C30" t="str">
        <f t="shared" ref="C30:H30" si="3">C29</f>
        <v>.</v>
      </c>
      <c r="D30">
        <f t="shared" si="3"/>
        <v>168</v>
      </c>
      <c r="E30" t="str">
        <f t="shared" si="3"/>
        <v>.</v>
      </c>
      <c r="F30">
        <f t="shared" si="3"/>
        <v>2</v>
      </c>
      <c r="G30" t="str">
        <f t="shared" si="3"/>
        <v>.</v>
      </c>
      <c r="H30">
        <f t="shared" si="3"/>
        <v>12</v>
      </c>
      <c r="J30">
        <f>J9</f>
        <v>255</v>
      </c>
      <c r="K30" t="str">
        <f t="shared" si="2"/>
        <v>.</v>
      </c>
      <c r="L30">
        <f t="shared" si="2"/>
        <v>255</v>
      </c>
      <c r="M30" t="str">
        <f t="shared" si="2"/>
        <v>.</v>
      </c>
      <c r="N30">
        <f t="shared" si="2"/>
        <v>255</v>
      </c>
      <c r="O30" t="str">
        <f t="shared" si="2"/>
        <v>.</v>
      </c>
      <c r="P30">
        <f t="shared" si="2"/>
        <v>0</v>
      </c>
      <c r="R30">
        <f>_xlfn.BITAND(B30,J30)</f>
        <v>192</v>
      </c>
      <c r="S30">
        <f t="shared" ref="S30" si="4">_xlfn.BITAND(D30,L30)</f>
        <v>168</v>
      </c>
      <c r="T30">
        <f t="shared" ref="T30" si="5">_xlfn.BITAND(F30,N30)</f>
        <v>2</v>
      </c>
      <c r="U30">
        <f t="shared" ref="U30" si="6">_xlfn.BITAND(H30,P30)</f>
        <v>0</v>
      </c>
    </row>
  </sheetData>
  <mergeCells count="6">
    <mergeCell ref="J28:P28"/>
    <mergeCell ref="R28:U28"/>
    <mergeCell ref="B7:H7"/>
    <mergeCell ref="J7:P7"/>
    <mergeCell ref="R7:U7"/>
    <mergeCell ref="B10:U10"/>
  </mergeCells>
  <phoneticPr fontId="8" type="noConversion"/>
  <conditionalFormatting sqref="W8:W10">
    <cfRule type="cellIs" dxfId="1" priority="1" operator="equal">
      <formula>"Nein"</formula>
    </cfRule>
    <cfRule type="cellIs" dxfId="0" priority="2" operator="equal">
      <formula>"Ja"</formula>
    </cfRule>
  </conditionalFormatting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Einstieg</vt:lpstr>
      <vt:lpstr>Binäre Erklärung</vt:lpstr>
      <vt:lpstr>IP-Router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Chéhab</dc:creator>
  <cp:lastModifiedBy>Marc Chéhab</cp:lastModifiedBy>
  <dcterms:created xsi:type="dcterms:W3CDTF">2023-06-12T09:54:59Z</dcterms:created>
  <dcterms:modified xsi:type="dcterms:W3CDTF">2024-02-25T21:41:08Z</dcterms:modified>
</cp:coreProperties>
</file>